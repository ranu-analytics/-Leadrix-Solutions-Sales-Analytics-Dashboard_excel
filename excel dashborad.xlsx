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nkit patel\Desktop\"/>
    </mc:Choice>
  </mc:AlternateContent>
  <xr:revisionPtr revIDLastSave="0" documentId="13_ncr:1_{FD3D8E9B-59D5-4883-AF5A-6F735D5A383A}" xr6:coauthVersionLast="47" xr6:coauthVersionMax="47" xr10:uidLastSave="{00000000-0000-0000-0000-000000000000}"/>
  <bookViews>
    <workbookView xWindow="-110" yWindow="-110" windowWidth="19420" windowHeight="10300" xr2:uid="{00000000-000D-0000-FFFF-FFFF00000000}"/>
  </bookViews>
  <sheets>
    <sheet name="Sheet6" sheetId="7" r:id="rId1"/>
    <sheet name="Sheet1" sheetId="2" r:id="rId2"/>
    <sheet name="Sheet2" sheetId="3" r:id="rId3"/>
    <sheet name="Sheet3" sheetId="4" r:id="rId4"/>
    <sheet name="Sheet4" sheetId="5" r:id="rId5"/>
    <sheet name="Sheet5" sheetId="6" r:id="rId6"/>
    <sheet name="Clean_Sales_Data_2" sheetId="1" r:id="rId7"/>
  </sheets>
  <definedNames>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8" i="2" l="1"/>
  <c r="G38" i="2"/>
  <c r="H40" i="2"/>
  <c r="H41" i="2"/>
  <c r="F37" i="2"/>
  <c r="H37" i="2" s="1"/>
  <c r="G39" i="2" l="1"/>
  <c r="G37" i="2"/>
  <c r="H39" i="2"/>
  <c r="G41" i="2"/>
  <c r="G40" i="2"/>
</calcChain>
</file>

<file path=xl/sharedStrings.xml><?xml version="1.0" encoding="utf-8"?>
<sst xmlns="http://schemas.openxmlformats.org/spreadsheetml/2006/main" count="4095" uniqueCount="1021">
  <si>
    <t>Invoice ID</t>
  </si>
  <si>
    <t>Invoice Date</t>
  </si>
  <si>
    <t>Customer Name</t>
  </si>
  <si>
    <t>Customer ID</t>
  </si>
  <si>
    <t>Product Name</t>
  </si>
  <si>
    <t>Product Category</t>
  </si>
  <si>
    <t>Quantity</t>
  </si>
  <si>
    <t>Unit Price</t>
  </si>
  <si>
    <t>Gross Amount</t>
  </si>
  <si>
    <t>Discount Amount</t>
  </si>
  <si>
    <t>Taxable Amount</t>
  </si>
  <si>
    <t>Net Amount</t>
  </si>
  <si>
    <t>Salesperson</t>
  </si>
  <si>
    <t>State</t>
  </si>
  <si>
    <t>City</t>
  </si>
  <si>
    <t>Country</t>
  </si>
  <si>
    <t>Year</t>
  </si>
  <si>
    <t>Month</t>
  </si>
  <si>
    <t>Quarter</t>
  </si>
  <si>
    <t>INV2-0001</t>
  </si>
  <si>
    <t>Customer_340</t>
  </si>
  <si>
    <t>CUST0383</t>
  </si>
  <si>
    <t>T-Shirt</t>
  </si>
  <si>
    <t>Clothing</t>
  </si>
  <si>
    <t>Neha</t>
  </si>
  <si>
    <t>Tamil Nadu</t>
  </si>
  <si>
    <t>Coimbatore</t>
  </si>
  <si>
    <t>India</t>
  </si>
  <si>
    <t>Q4</t>
  </si>
  <si>
    <t>INV2-0002</t>
  </si>
  <si>
    <t>Customer_482</t>
  </si>
  <si>
    <t>CUST0385</t>
  </si>
  <si>
    <t>Table</t>
  </si>
  <si>
    <t>Furniture</t>
  </si>
  <si>
    <t>Amit</t>
  </si>
  <si>
    <t>Q2</t>
  </si>
  <si>
    <t>INV2-0003</t>
  </si>
  <si>
    <t>Customer_37</t>
  </si>
  <si>
    <t>CUST0321</t>
  </si>
  <si>
    <t>Priya</t>
  </si>
  <si>
    <t>Maharashtra</t>
  </si>
  <si>
    <t>Pune</t>
  </si>
  <si>
    <t>INV2-0004</t>
  </si>
  <si>
    <t>Customer_112</t>
  </si>
  <si>
    <t>CUST0274</t>
  </si>
  <si>
    <t>Mobile</t>
  </si>
  <si>
    <t>Electronics</t>
  </si>
  <si>
    <t>Sneha</t>
  </si>
  <si>
    <t>Delhi</t>
  </si>
  <si>
    <t>New Delhi</t>
  </si>
  <si>
    <t>INV2-0005</t>
  </si>
  <si>
    <t>Customer_199</t>
  </si>
  <si>
    <t>CUST0104</t>
  </si>
  <si>
    <t>Chair</t>
  </si>
  <si>
    <t>Karnataka</t>
  </si>
  <si>
    <t>Mysore</t>
  </si>
  <si>
    <t>Q3</t>
  </si>
  <si>
    <t>INV2-0006</t>
  </si>
  <si>
    <t>Customer_356</t>
  </si>
  <si>
    <t>CUST0435</t>
  </si>
  <si>
    <t>Laptop</t>
  </si>
  <si>
    <t>Rajasthan</t>
  </si>
  <si>
    <t>Udaipur</t>
  </si>
  <si>
    <t>INV2-0007</t>
  </si>
  <si>
    <t>Customer_258</t>
  </si>
  <si>
    <t>CUST0483</t>
  </si>
  <si>
    <t>Kunal</t>
  </si>
  <si>
    <t>Bangalore</t>
  </si>
  <si>
    <t>Q1</t>
  </si>
  <si>
    <t>INV2-0008</t>
  </si>
  <si>
    <t>Customer_163</t>
  </si>
  <si>
    <t>CUST0472</t>
  </si>
  <si>
    <t>INV2-0009</t>
  </si>
  <si>
    <t>Customer_364</t>
  </si>
  <si>
    <t>CUST0443</t>
  </si>
  <si>
    <t>Mumbai</t>
  </si>
  <si>
    <t>INV2-0010</t>
  </si>
  <si>
    <t>Customer_304</t>
  </si>
  <si>
    <t>CUST0170</t>
  </si>
  <si>
    <t>Jeans</t>
  </si>
  <si>
    <t>Chennai</t>
  </si>
  <si>
    <t>INV2-0011</t>
  </si>
  <si>
    <t>Customer_475</t>
  </si>
  <si>
    <t>CUST0263</t>
  </si>
  <si>
    <t>Rohit</t>
  </si>
  <si>
    <t>INV2-0012</t>
  </si>
  <si>
    <t>Customer_381</t>
  </si>
  <si>
    <t>CUST0319</t>
  </si>
  <si>
    <t>Jaipur</t>
  </si>
  <si>
    <t>INV2-0013</t>
  </si>
  <si>
    <t>Customer_15</t>
  </si>
  <si>
    <t>CUST0303</t>
  </si>
  <si>
    <t>INV2-0014</t>
  </si>
  <si>
    <t>Customer_53</t>
  </si>
  <si>
    <t>CUST0420</t>
  </si>
  <si>
    <t>INV2-0015</t>
  </si>
  <si>
    <t>Customer_301</t>
  </si>
  <si>
    <t>CUST0294</t>
  </si>
  <si>
    <t>INV2-0016</t>
  </si>
  <si>
    <t>Customer_315</t>
  </si>
  <si>
    <t>CUST0496</t>
  </si>
  <si>
    <t>Gujarat</t>
  </si>
  <si>
    <t>Ahmedabad</t>
  </si>
  <si>
    <t>INV2-0017</t>
  </si>
  <si>
    <t>Customer_45</t>
  </si>
  <si>
    <t>CUST0292</t>
  </si>
  <si>
    <t>Pen</t>
  </si>
  <si>
    <t>Stationery</t>
  </si>
  <si>
    <t>Surat</t>
  </si>
  <si>
    <t>INV2-0018</t>
  </si>
  <si>
    <t>Customer_161</t>
  </si>
  <si>
    <t>CUST0337</t>
  </si>
  <si>
    <t>INV2-0019</t>
  </si>
  <si>
    <t>Customer_158</t>
  </si>
  <si>
    <t>CUST0231</t>
  </si>
  <si>
    <t>INV2-0020</t>
  </si>
  <si>
    <t>Customer_343</t>
  </si>
  <si>
    <t>CUST0046</t>
  </si>
  <si>
    <t>INV2-0021</t>
  </si>
  <si>
    <t>Customer_250</t>
  </si>
  <si>
    <t>CUST0457</t>
  </si>
  <si>
    <t>INV2-0022</t>
  </si>
  <si>
    <t>Customer_431</t>
  </si>
  <si>
    <t>CUST0207</t>
  </si>
  <si>
    <t>Notebook</t>
  </si>
  <si>
    <t>Nagpur</t>
  </si>
  <si>
    <t>INV2-0023</t>
  </si>
  <si>
    <t>Customer_92</t>
  </si>
  <si>
    <t>INV2-0024</t>
  </si>
  <si>
    <t>Customer_391</t>
  </si>
  <si>
    <t>CUST0489</t>
  </si>
  <si>
    <t>INV2-0025</t>
  </si>
  <si>
    <t>Customer_86</t>
  </si>
  <si>
    <t>CUST0021</t>
  </si>
  <si>
    <t>INV2-0026</t>
  </si>
  <si>
    <t>Customer_212</t>
  </si>
  <si>
    <t>CUST0268</t>
  </si>
  <si>
    <t>INV2-0027</t>
  </si>
  <si>
    <t>Customer_447</t>
  </si>
  <si>
    <t>CUST0404</t>
  </si>
  <si>
    <t>INV2-0028</t>
  </si>
  <si>
    <t>Customer_188</t>
  </si>
  <si>
    <t>CUST0305</t>
  </si>
  <si>
    <t>INV2-0029</t>
  </si>
  <si>
    <t>Customer_234</t>
  </si>
  <si>
    <t>CUST0320</t>
  </si>
  <si>
    <t>INV2-0030</t>
  </si>
  <si>
    <t>Customer_203</t>
  </si>
  <si>
    <t>CUST0042</t>
  </si>
  <si>
    <t>INV2-0031</t>
  </si>
  <si>
    <t>Customer_136</t>
  </si>
  <si>
    <t>CUST0380</t>
  </si>
  <si>
    <t>INV2-0032</t>
  </si>
  <si>
    <t>Customer_6</t>
  </si>
  <si>
    <t>CUST0065</t>
  </si>
  <si>
    <t>INV2-0033</t>
  </si>
  <si>
    <t>Customer_378</t>
  </si>
  <si>
    <t>CUST0418</t>
  </si>
  <si>
    <t>INV2-0034</t>
  </si>
  <si>
    <t>Customer_40</t>
  </si>
  <si>
    <t>CUST0146</t>
  </si>
  <si>
    <t>INV2-0035</t>
  </si>
  <si>
    <t>Customer_3</t>
  </si>
  <si>
    <t>CUST0124</t>
  </si>
  <si>
    <t>INV2-0036</t>
  </si>
  <si>
    <t>Customer_255</t>
  </si>
  <si>
    <t>CUST0484</t>
  </si>
  <si>
    <t>INV2-0037</t>
  </si>
  <si>
    <t>Customer_178</t>
  </si>
  <si>
    <t>CUST0381</t>
  </si>
  <si>
    <t>INV2-0038</t>
  </si>
  <si>
    <t>Customer_251</t>
  </si>
  <si>
    <t>CUST0145</t>
  </si>
  <si>
    <t>INV2-0039</t>
  </si>
  <si>
    <t>Customer_81</t>
  </si>
  <si>
    <t>CUST0363</t>
  </si>
  <si>
    <t>INV2-0040</t>
  </si>
  <si>
    <t>Customer_311</t>
  </si>
  <si>
    <t>CUST0470</t>
  </si>
  <si>
    <t>INV2-0041</t>
  </si>
  <si>
    <t>Customer_214</t>
  </si>
  <si>
    <t>CUST0359</t>
  </si>
  <si>
    <t>INV2-0042</t>
  </si>
  <si>
    <t>Customer_193</t>
  </si>
  <si>
    <t>CUST0116</t>
  </si>
  <si>
    <t>INV2-0043</t>
  </si>
  <si>
    <t>Customer_206</t>
  </si>
  <si>
    <t>CUST0378</t>
  </si>
  <si>
    <t>INV2-0044</t>
  </si>
  <si>
    <t>Customer_209</t>
  </si>
  <si>
    <t>CUST0076</t>
  </si>
  <si>
    <t>INV2-0045</t>
  </si>
  <si>
    <t>Customer_56</t>
  </si>
  <si>
    <t>CUST0417</t>
  </si>
  <si>
    <t>INV2-0046</t>
  </si>
  <si>
    <t>Customer_316</t>
  </si>
  <si>
    <t>CUST0497</t>
  </si>
  <si>
    <t>INV2-0047</t>
  </si>
  <si>
    <t>Customer_119</t>
  </si>
  <si>
    <t>CUST0301</t>
  </si>
  <si>
    <t>INV2-0048</t>
  </si>
  <si>
    <t>Customer_365</t>
  </si>
  <si>
    <t>CUST0193</t>
  </si>
  <si>
    <t>INV2-0049</t>
  </si>
  <si>
    <t>Customer_72</t>
  </si>
  <si>
    <t>CUST0158</t>
  </si>
  <si>
    <t>INV2-0050</t>
  </si>
  <si>
    <t>Customer_352</t>
  </si>
  <si>
    <t>INV2-0051</t>
  </si>
  <si>
    <t>Customer_127</t>
  </si>
  <si>
    <t>CUST0238</t>
  </si>
  <si>
    <t>INV2-0052</t>
  </si>
  <si>
    <t>Customer_423</t>
  </si>
  <si>
    <t>CUST0252</t>
  </si>
  <si>
    <t>INV2-0053</t>
  </si>
  <si>
    <t>Customer_458</t>
  </si>
  <si>
    <t>CUST0205</t>
  </si>
  <si>
    <t>INV2-0054</t>
  </si>
  <si>
    <t>Customer_216</t>
  </si>
  <si>
    <t>CUST0348</t>
  </si>
  <si>
    <t>INV2-0055</t>
  </si>
  <si>
    <t>Customer_288</t>
  </si>
  <si>
    <t>CUST0324</t>
  </si>
  <si>
    <t>INV2-0056</t>
  </si>
  <si>
    <t>Customer_227</t>
  </si>
  <si>
    <t>CUST0132</t>
  </si>
  <si>
    <t>INV2-0057</t>
  </si>
  <si>
    <t>Customer_317</t>
  </si>
  <si>
    <t>CUST0177</t>
  </si>
  <si>
    <t>INV2-0058</t>
  </si>
  <si>
    <t>Customer_260</t>
  </si>
  <si>
    <t>CUST0271</t>
  </si>
  <si>
    <t>INV2-0059</t>
  </si>
  <si>
    <t>Customer_192</t>
  </si>
  <si>
    <t>CUST0014</t>
  </si>
  <si>
    <t>INV2-0060</t>
  </si>
  <si>
    <t>Customer_266</t>
  </si>
  <si>
    <t>CUST0456</t>
  </si>
  <si>
    <t>INV2-0061</t>
  </si>
  <si>
    <t>Customer_17</t>
  </si>
  <si>
    <t>CUST0414</t>
  </si>
  <si>
    <t>INV2-0062</t>
  </si>
  <si>
    <t>Customer_277</t>
  </si>
  <si>
    <t>CUST0182</t>
  </si>
  <si>
    <t>INV2-0063</t>
  </si>
  <si>
    <t>Customer_195</t>
  </si>
  <si>
    <t>INV2-0064</t>
  </si>
  <si>
    <t>Customer_57</t>
  </si>
  <si>
    <t>CUST0112</t>
  </si>
  <si>
    <t>INV2-0065</t>
  </si>
  <si>
    <t>Customer_42</t>
  </si>
  <si>
    <t>CUST0350</t>
  </si>
  <si>
    <t>INV2-0066</t>
  </si>
  <si>
    <t>Customer_222</t>
  </si>
  <si>
    <t>CUST0288</t>
  </si>
  <si>
    <t>INV2-0067</t>
  </si>
  <si>
    <t>Customer_328</t>
  </si>
  <si>
    <t>INV2-0068</t>
  </si>
  <si>
    <t>CUST0079</t>
  </si>
  <si>
    <t>INV2-0069</t>
  </si>
  <si>
    <t>Customer_459</t>
  </si>
  <si>
    <t>CUST0467</t>
  </si>
  <si>
    <t>INV2-0070</t>
  </si>
  <si>
    <t>Customer_392</t>
  </si>
  <si>
    <t>CUST0445</t>
  </si>
  <si>
    <t>INV2-0071</t>
  </si>
  <si>
    <t>Customer_100</t>
  </si>
  <si>
    <t>INV2-0072</t>
  </si>
  <si>
    <t>Customer_327</t>
  </si>
  <si>
    <t>CUST0176</t>
  </si>
  <si>
    <t>INV2-0073</t>
  </si>
  <si>
    <t>Customer_312</t>
  </si>
  <si>
    <t>CUST0102</t>
  </si>
  <si>
    <t>INV2-0074</t>
  </si>
  <si>
    <t>CUST0287</t>
  </si>
  <si>
    <t>INV2-0075</t>
  </si>
  <si>
    <t>Customer_443</t>
  </si>
  <si>
    <t>INV2-0076</t>
  </si>
  <si>
    <t>Customer_295</t>
  </si>
  <si>
    <t>CUST0279</t>
  </si>
  <si>
    <t>INV2-0077</t>
  </si>
  <si>
    <t>Customer_128</t>
  </si>
  <si>
    <t>CUST0143</t>
  </si>
  <si>
    <t>INV2-0078</t>
  </si>
  <si>
    <t>Customer_455</t>
  </si>
  <si>
    <t>CUST0224</t>
  </si>
  <si>
    <t>INV2-0079</t>
  </si>
  <si>
    <t>Customer_269</t>
  </si>
  <si>
    <t>CUST0357</t>
  </si>
  <si>
    <t>INV2-0080</t>
  </si>
  <si>
    <t>Customer_429</t>
  </si>
  <si>
    <t>CUST0442</t>
  </si>
  <si>
    <t>INV2-0081</t>
  </si>
  <si>
    <t>Customer_217</t>
  </si>
  <si>
    <t>CUST0358</t>
  </si>
  <si>
    <t>INV2-0082</t>
  </si>
  <si>
    <t>Customer_419</t>
  </si>
  <si>
    <t>INV2-0083</t>
  </si>
  <si>
    <t>Customer_58</t>
  </si>
  <si>
    <t>CUST0426</t>
  </si>
  <si>
    <t>INV2-0084</t>
  </si>
  <si>
    <t>Customer_60</t>
  </si>
  <si>
    <t>CUST0001</t>
  </si>
  <si>
    <t>INV2-0085</t>
  </si>
  <si>
    <t>Customer_177</t>
  </si>
  <si>
    <t>CUST0254</t>
  </si>
  <si>
    <t>INV2-0086</t>
  </si>
  <si>
    <t>Customer_323</t>
  </si>
  <si>
    <t>CUST0422</t>
  </si>
  <si>
    <t>INV2-0087</t>
  </si>
  <si>
    <t>CUST0430</t>
  </si>
  <si>
    <t>INV2-0088</t>
  </si>
  <si>
    <t>Customer_466</t>
  </si>
  <si>
    <t>CUST0419</t>
  </si>
  <si>
    <t>INV2-0089</t>
  </si>
  <si>
    <t>Customer_467</t>
  </si>
  <si>
    <t>CUST0480</t>
  </si>
  <si>
    <t>INV2-0090</t>
  </si>
  <si>
    <t>Customer_176</t>
  </si>
  <si>
    <t>CUST0270</t>
  </si>
  <si>
    <t>INV2-0091</t>
  </si>
  <si>
    <t>CUST0434</t>
  </si>
  <si>
    <t>INV2-0092</t>
  </si>
  <si>
    <t>CUST0286</t>
  </si>
  <si>
    <t>INV2-0093</t>
  </si>
  <si>
    <t>Customer_99</t>
  </si>
  <si>
    <t>CUST0022</t>
  </si>
  <si>
    <t>INV2-0094</t>
  </si>
  <si>
    <t>CUST0153</t>
  </si>
  <si>
    <t>INV2-0095</t>
  </si>
  <si>
    <t>Customer_16</t>
  </si>
  <si>
    <t>CUST0237</t>
  </si>
  <si>
    <t>INV2-0096</t>
  </si>
  <si>
    <t>Customer_338</t>
  </si>
  <si>
    <t>CUST0334</t>
  </si>
  <si>
    <t>INV2-0097</t>
  </si>
  <si>
    <t>CUST0479</t>
  </si>
  <si>
    <t>INV2-0098</t>
  </si>
  <si>
    <t>CUST0051</t>
  </si>
  <si>
    <t>INV2-0099</t>
  </si>
  <si>
    <t>Customer_239</t>
  </si>
  <si>
    <t>CUST0206</t>
  </si>
  <si>
    <t>INV2-0100</t>
  </si>
  <si>
    <t>Customer_162</t>
  </si>
  <si>
    <t>CUST0408</t>
  </si>
  <si>
    <t>INV2-0101</t>
  </si>
  <si>
    <t>Customer_397</t>
  </si>
  <si>
    <t>INV2-0102</t>
  </si>
  <si>
    <t>INV2-0103</t>
  </si>
  <si>
    <t>Customer_439</t>
  </si>
  <si>
    <t>CUST0388</t>
  </si>
  <si>
    <t>INV2-0104</t>
  </si>
  <si>
    <t>Customer_308</t>
  </si>
  <si>
    <t>CUST0216</t>
  </si>
  <si>
    <t>INV2-0105</t>
  </si>
  <si>
    <t>CUST0078</t>
  </si>
  <si>
    <t>INV2-0106</t>
  </si>
  <si>
    <t>Customer_174</t>
  </si>
  <si>
    <t>CUST0168</t>
  </si>
  <si>
    <t>INV2-0107</t>
  </si>
  <si>
    <t>Customer_70</t>
  </si>
  <si>
    <t>CUST0077</t>
  </si>
  <si>
    <t>INV2-0108</t>
  </si>
  <si>
    <t>Customer_153</t>
  </si>
  <si>
    <t>INV2-0109</t>
  </si>
  <si>
    <t>Customer_120</t>
  </si>
  <si>
    <t>CUST0413</t>
  </si>
  <si>
    <t>INV2-0110</t>
  </si>
  <si>
    <t>Customer_39</t>
  </si>
  <si>
    <t>CUST0322</t>
  </si>
  <si>
    <t>INV2-0111</t>
  </si>
  <si>
    <t>Customer_497</t>
  </si>
  <si>
    <t>CUST0253</t>
  </si>
  <si>
    <t>INV2-0112</t>
  </si>
  <si>
    <t>Customer_107</t>
  </si>
  <si>
    <t>CUST0083</t>
  </si>
  <si>
    <t>INV2-0113</t>
  </si>
  <si>
    <t>INV2-0114</t>
  </si>
  <si>
    <t>Customer_235</t>
  </si>
  <si>
    <t>INV2-0115</t>
  </si>
  <si>
    <t>Customer_146</t>
  </si>
  <si>
    <t>CUST0341</t>
  </si>
  <si>
    <t>INV2-0116</t>
  </si>
  <si>
    <t>Customer_361</t>
  </si>
  <si>
    <t>INV2-0117</t>
  </si>
  <si>
    <t>Customer_144</t>
  </si>
  <si>
    <t>CUST0118</t>
  </si>
  <si>
    <t>INV2-0118</t>
  </si>
  <si>
    <t>Customer_403</t>
  </si>
  <si>
    <t>INV2-0119</t>
  </si>
  <si>
    <t>CUST0258</t>
  </si>
  <si>
    <t>INV2-0120</t>
  </si>
  <si>
    <t>Customer_303</t>
  </si>
  <si>
    <t>CUST0314</t>
  </si>
  <si>
    <t>INV2-0121</t>
  </si>
  <si>
    <t>CUST0293</t>
  </si>
  <si>
    <t>INV2-0122</t>
  </si>
  <si>
    <t>Customer_62</t>
  </si>
  <si>
    <t>CUST0310</t>
  </si>
  <si>
    <t>INV2-0123</t>
  </si>
  <si>
    <t>CUST0499</t>
  </si>
  <si>
    <t>INV2-0124</t>
  </si>
  <si>
    <t>Customer_362</t>
  </si>
  <si>
    <t>CUST0203</t>
  </si>
  <si>
    <t>INV2-0125</t>
  </si>
  <si>
    <t>Customer_283</t>
  </si>
  <si>
    <t>CUST0115</t>
  </si>
  <si>
    <t>INV2-0126</t>
  </si>
  <si>
    <t>CUST0466</t>
  </si>
  <si>
    <t>INV2-0127</t>
  </si>
  <si>
    <t>CUST0088</t>
  </si>
  <si>
    <t>INV2-0128</t>
  </si>
  <si>
    <t>Customer_168</t>
  </si>
  <si>
    <t>CUST0240</t>
  </si>
  <si>
    <t>INV2-0129</t>
  </si>
  <si>
    <t>Customer_243</t>
  </si>
  <si>
    <t>CUST0179</t>
  </si>
  <si>
    <t>INV2-0130</t>
  </si>
  <si>
    <t>Customer_236</t>
  </si>
  <si>
    <t>CUST0432</t>
  </si>
  <si>
    <t>INV2-0131</t>
  </si>
  <si>
    <t>Customer_276</t>
  </si>
  <si>
    <t>CUST0005</t>
  </si>
  <si>
    <t>INV2-0132</t>
  </si>
  <si>
    <t>Customer_248</t>
  </si>
  <si>
    <t>CUST0101</t>
  </si>
  <si>
    <t>INV2-0133</t>
  </si>
  <si>
    <t>Customer_182</t>
  </si>
  <si>
    <t>CUST0023</t>
  </si>
  <si>
    <t>INV2-0134</t>
  </si>
  <si>
    <t>CUST0285</t>
  </si>
  <si>
    <t>INV2-0135</t>
  </si>
  <si>
    <t>Customer_186</t>
  </si>
  <si>
    <t>INV2-0136</t>
  </si>
  <si>
    <t>Customer_307</t>
  </si>
  <si>
    <t>CUST0220</t>
  </si>
  <si>
    <t>INV2-0137</t>
  </si>
  <si>
    <t>Customer_296</t>
  </si>
  <si>
    <t>CUST0249</t>
  </si>
  <si>
    <t>INV2-0138</t>
  </si>
  <si>
    <t>Customer_191</t>
  </si>
  <si>
    <t>CUST0332</t>
  </si>
  <si>
    <t>INV2-0139</t>
  </si>
  <si>
    <t>Customer_326</t>
  </si>
  <si>
    <t>CUST0134</t>
  </si>
  <si>
    <t>INV2-0140</t>
  </si>
  <si>
    <t>Customer_113</t>
  </si>
  <si>
    <t>CUST0339</t>
  </si>
  <si>
    <t>INV2-0141</t>
  </si>
  <si>
    <t>Customer_387</t>
  </si>
  <si>
    <t>CUST0183</t>
  </si>
  <si>
    <t>INV2-0142</t>
  </si>
  <si>
    <t>CUST0187</t>
  </si>
  <si>
    <t>INV2-0143</t>
  </si>
  <si>
    <t>Customer_329</t>
  </si>
  <si>
    <t>CUST0247</t>
  </si>
  <si>
    <t>INV2-0144</t>
  </si>
  <si>
    <t>Customer_88</t>
  </si>
  <si>
    <t>INV2-0145</t>
  </si>
  <si>
    <t>CUST0485</t>
  </si>
  <si>
    <t>INV2-0146</t>
  </si>
  <si>
    <t>Customer_238</t>
  </si>
  <si>
    <t>CUST0356</t>
  </si>
  <si>
    <t>INV2-0147</t>
  </si>
  <si>
    <t>CUST0024</t>
  </si>
  <si>
    <t>INV2-0148</t>
  </si>
  <si>
    <t>Customer_278</t>
  </si>
  <si>
    <t>INV2-0149</t>
  </si>
  <si>
    <t>Customer_96</t>
  </si>
  <si>
    <t>CUST0013</t>
  </si>
  <si>
    <t>INV2-0150</t>
  </si>
  <si>
    <t>Customer_116</t>
  </si>
  <si>
    <t>CUST0379</t>
  </si>
  <si>
    <t>INV2-0151</t>
  </si>
  <si>
    <t>Customer_30</t>
  </si>
  <si>
    <t>CUST0040</t>
  </si>
  <si>
    <t>INV2-0152</t>
  </si>
  <si>
    <t>Customer_67</t>
  </si>
  <si>
    <t>CUST0297</t>
  </si>
  <si>
    <t>INV2-0153</t>
  </si>
  <si>
    <t>INV2-0154</t>
  </si>
  <si>
    <t>Customer_416</t>
  </si>
  <si>
    <t>INV2-0155</t>
  </si>
  <si>
    <t>Customer_20</t>
  </si>
  <si>
    <t>INV2-0156</t>
  </si>
  <si>
    <t>CUST0242</t>
  </si>
  <si>
    <t>INV2-0157</t>
  </si>
  <si>
    <t>Customer_66</t>
  </si>
  <si>
    <t>CUST0228</t>
  </si>
  <si>
    <t>INV2-0158</t>
  </si>
  <si>
    <t>Customer_61</t>
  </si>
  <si>
    <t>INV2-0159</t>
  </si>
  <si>
    <t>Customer_105</t>
  </si>
  <si>
    <t>CUST0198</t>
  </si>
  <si>
    <t>INV2-0160</t>
  </si>
  <si>
    <t>Customer_257</t>
  </si>
  <si>
    <t>INV2-0161</t>
  </si>
  <si>
    <t>INV2-0162</t>
  </si>
  <si>
    <t>CUST0098</t>
  </si>
  <si>
    <t>INV2-0163</t>
  </si>
  <si>
    <t>Customer_450</t>
  </si>
  <si>
    <t>CUST0204</t>
  </si>
  <si>
    <t>INV2-0164</t>
  </si>
  <si>
    <t>Customer_337</t>
  </si>
  <si>
    <t>CUST0131</t>
  </si>
  <si>
    <t>INV2-0165</t>
  </si>
  <si>
    <t>Customer_355</t>
  </si>
  <si>
    <t>CUST0084</t>
  </si>
  <si>
    <t>INV2-0166</t>
  </si>
  <si>
    <t>Customer_122</t>
  </si>
  <si>
    <t>CUST0006</t>
  </si>
  <si>
    <t>INV2-0167</t>
  </si>
  <si>
    <t>Customer_241</t>
  </si>
  <si>
    <t>CUST0018</t>
  </si>
  <si>
    <t>INV2-0168</t>
  </si>
  <si>
    <t>Customer_220</t>
  </si>
  <si>
    <t>INV2-0169</t>
  </si>
  <si>
    <t>Customer_205</t>
  </si>
  <si>
    <t>INV2-0170</t>
  </si>
  <si>
    <t>CUST0190</t>
  </si>
  <si>
    <t>INV2-0171</t>
  </si>
  <si>
    <t>Customer_202</t>
  </si>
  <si>
    <t>CUST0468</t>
  </si>
  <si>
    <t>INV2-0172</t>
  </si>
  <si>
    <t>Customer_360</t>
  </si>
  <si>
    <t>CUST0045</t>
  </si>
  <si>
    <t>INV2-0173</t>
  </si>
  <si>
    <t>Customer_180</t>
  </si>
  <si>
    <t>CUST0349</t>
  </si>
  <si>
    <t>INV2-0174</t>
  </si>
  <si>
    <t>Customer_394</t>
  </si>
  <si>
    <t>INV2-0175</t>
  </si>
  <si>
    <t>Customer_224</t>
  </si>
  <si>
    <t>CUST0236</t>
  </si>
  <si>
    <t>INV2-0176</t>
  </si>
  <si>
    <t>Customer_106</t>
  </si>
  <si>
    <t>CUST0138</t>
  </si>
  <si>
    <t>INV2-0177</t>
  </si>
  <si>
    <t>CUST0002</t>
  </si>
  <si>
    <t>INV2-0178</t>
  </si>
  <si>
    <t>Customer_21</t>
  </si>
  <si>
    <t>CUST0295</t>
  </si>
  <si>
    <t>INV2-0179</t>
  </si>
  <si>
    <t>CUST0406</t>
  </si>
  <si>
    <t>INV2-0180</t>
  </si>
  <si>
    <t>CUST0395</t>
  </si>
  <si>
    <t>INV2-0181</t>
  </si>
  <si>
    <t>Customer_498</t>
  </si>
  <si>
    <t>CUST0019</t>
  </si>
  <si>
    <t>INV2-0182</t>
  </si>
  <si>
    <t>INV2-0183</t>
  </si>
  <si>
    <t>INV2-0184</t>
  </si>
  <si>
    <t>INV2-0185</t>
  </si>
  <si>
    <t>Customer_24</t>
  </si>
  <si>
    <t>CUST0217</t>
  </si>
  <si>
    <t>INV2-0186</t>
  </si>
  <si>
    <t>Customer_170</t>
  </si>
  <si>
    <t>CUST0103</t>
  </si>
  <si>
    <t>INV2-0187</t>
  </si>
  <si>
    <t>Customer_384</t>
  </si>
  <si>
    <t>CUST0071</t>
  </si>
  <si>
    <t>INV2-0188</t>
  </si>
  <si>
    <t>Customer_420</t>
  </si>
  <si>
    <t>INV2-0189</t>
  </si>
  <si>
    <t>Customer_342</t>
  </si>
  <si>
    <t>INV2-0190</t>
  </si>
  <si>
    <t>Customer_460</t>
  </si>
  <si>
    <t>CUST0199</t>
  </si>
  <si>
    <t>INV2-0191</t>
  </si>
  <si>
    <t>CUST0424</t>
  </si>
  <si>
    <t>INV2-0192</t>
  </si>
  <si>
    <t>Customer_418</t>
  </si>
  <si>
    <t>CUST0232</t>
  </si>
  <si>
    <t>INV2-0193</t>
  </si>
  <si>
    <t>Customer_270</t>
  </si>
  <si>
    <t>CUST0333</t>
  </si>
  <si>
    <t>INV2-0194</t>
  </si>
  <si>
    <t>Customer_157</t>
  </si>
  <si>
    <t>INV2-0195</t>
  </si>
  <si>
    <t>Customer_50</t>
  </si>
  <si>
    <t>CUST0234</t>
  </si>
  <si>
    <t>INV2-0196</t>
  </si>
  <si>
    <t>Customer_147</t>
  </si>
  <si>
    <t>CUST0221</t>
  </si>
  <si>
    <t>INV2-0197</t>
  </si>
  <si>
    <t>Customer_201</t>
  </si>
  <si>
    <t>CUST0377</t>
  </si>
  <si>
    <t>INV2-0198</t>
  </si>
  <si>
    <t>Customer_159</t>
  </si>
  <si>
    <t>CUST0035</t>
  </si>
  <si>
    <t>INV2-0199</t>
  </si>
  <si>
    <t>Customer_91</t>
  </si>
  <si>
    <t>INV2-0200</t>
  </si>
  <si>
    <t>Customer_240</t>
  </si>
  <si>
    <t>CUST0251</t>
  </si>
  <si>
    <t>INV2-0201</t>
  </si>
  <si>
    <t>Customer_12</t>
  </si>
  <si>
    <t>CUST0010</t>
  </si>
  <si>
    <t>INV2-0202</t>
  </si>
  <si>
    <t>CUST0465</t>
  </si>
  <si>
    <t>INV2-0203</t>
  </si>
  <si>
    <t>Customer_435</t>
  </si>
  <si>
    <t>INV2-0204</t>
  </si>
  <si>
    <t>Customer_197</t>
  </si>
  <si>
    <t>CUST0037</t>
  </si>
  <si>
    <t>INV2-0205</t>
  </si>
  <si>
    <t>CUST0178</t>
  </si>
  <si>
    <t>INV2-0206</t>
  </si>
  <si>
    <t>CUST0151</t>
  </si>
  <si>
    <t>INV2-0207</t>
  </si>
  <si>
    <t>Customer_334</t>
  </si>
  <si>
    <t>CUST0372</t>
  </si>
  <si>
    <t>INV2-0208</t>
  </si>
  <si>
    <t>Customer_215</t>
  </si>
  <si>
    <t>CUST0407</t>
  </si>
  <si>
    <t>INV2-0209</t>
  </si>
  <si>
    <t>Customer_448</t>
  </si>
  <si>
    <t>CUST0127</t>
  </si>
  <si>
    <t>INV2-0210</t>
  </si>
  <si>
    <t>Customer_267</t>
  </si>
  <si>
    <t>INV2-0211</t>
  </si>
  <si>
    <t>Customer_374</t>
  </si>
  <si>
    <t>CUST0362</t>
  </si>
  <si>
    <t>INV2-0212</t>
  </si>
  <si>
    <t>CUST0347</t>
  </si>
  <si>
    <t>INV2-0213</t>
  </si>
  <si>
    <t>Customer_398</t>
  </si>
  <si>
    <t>CUST0039</t>
  </si>
  <si>
    <t>INV2-0214</t>
  </si>
  <si>
    <t>CUST0330</t>
  </si>
  <si>
    <t>INV2-0215</t>
  </si>
  <si>
    <t>Customer_7</t>
  </si>
  <si>
    <t>INV2-0216</t>
  </si>
  <si>
    <t>INV2-0217</t>
  </si>
  <si>
    <t>Customer_139</t>
  </si>
  <si>
    <t>CUST0189</t>
  </si>
  <si>
    <t>INV2-0218</t>
  </si>
  <si>
    <t>INV2-0219</t>
  </si>
  <si>
    <t>Customer_233</t>
  </si>
  <si>
    <t>CUST0475</t>
  </si>
  <si>
    <t>INV2-0220</t>
  </si>
  <si>
    <t>Customer_14</t>
  </si>
  <si>
    <t>CUST0275</t>
  </si>
  <si>
    <t>INV2-0221</t>
  </si>
  <si>
    <t>Customer_285</t>
  </si>
  <si>
    <t>CUST0241</t>
  </si>
  <si>
    <t>INV2-0222</t>
  </si>
  <si>
    <t>Customer_131</t>
  </si>
  <si>
    <t>CUST0290</t>
  </si>
  <si>
    <t>INV2-0223</t>
  </si>
  <si>
    <t>CUST0163</t>
  </si>
  <si>
    <t>INV2-0224</t>
  </si>
  <si>
    <t>Customer_55</t>
  </si>
  <si>
    <t>CUST0450</t>
  </si>
  <si>
    <t>INV2-0225</t>
  </si>
  <si>
    <t>Customer_481</t>
  </si>
  <si>
    <t>CUST0386</t>
  </si>
  <si>
    <t>INV2-0226</t>
  </si>
  <si>
    <t>CUST0130</t>
  </si>
  <si>
    <t>INV2-0227</t>
  </si>
  <si>
    <t>CUST0391</t>
  </si>
  <si>
    <t>INV2-0228</t>
  </si>
  <si>
    <t>Customer_172</t>
  </si>
  <si>
    <t>CUST0464</t>
  </si>
  <si>
    <t>INV2-0229</t>
  </si>
  <si>
    <t>Customer_464</t>
  </si>
  <si>
    <t>CUST0291</t>
  </si>
  <si>
    <t>INV2-0230</t>
  </si>
  <si>
    <t>Customer_385</t>
  </si>
  <si>
    <t>CUST0311</t>
  </si>
  <si>
    <t>INV2-0231</t>
  </si>
  <si>
    <t>CUST0463</t>
  </si>
  <si>
    <t>INV2-0232</t>
  </si>
  <si>
    <t>Customer_35</t>
  </si>
  <si>
    <t>CUST0089</t>
  </si>
  <si>
    <t>INV2-0233</t>
  </si>
  <si>
    <t>Customer_95</t>
  </si>
  <si>
    <t>CUST0306</t>
  </si>
  <si>
    <t>INV2-0234</t>
  </si>
  <si>
    <t>INV2-0235</t>
  </si>
  <si>
    <t>Customer_290</t>
  </si>
  <si>
    <t>INV2-0236</t>
  </si>
  <si>
    <t>INV2-0237</t>
  </si>
  <si>
    <t>Customer_445</t>
  </si>
  <si>
    <t>CUST0093</t>
  </si>
  <si>
    <t>INV2-0238</t>
  </si>
  <si>
    <t>Customer_26</t>
  </si>
  <si>
    <t>INV2-0239</t>
  </si>
  <si>
    <t>INV2-0240</t>
  </si>
  <si>
    <t>CUST0121</t>
  </si>
  <si>
    <t>INV2-0241</t>
  </si>
  <si>
    <t>Customer_368</t>
  </si>
  <si>
    <t>INV2-0242</t>
  </si>
  <si>
    <t>Customer_152</t>
  </si>
  <si>
    <t>CUST0194</t>
  </si>
  <si>
    <t>INV2-0243</t>
  </si>
  <si>
    <t>INV2-0244</t>
  </si>
  <si>
    <t>INV2-0245</t>
  </si>
  <si>
    <t>Customer_230</t>
  </si>
  <si>
    <t>INV2-0246</t>
  </si>
  <si>
    <t>CUST0067</t>
  </si>
  <si>
    <t>INV2-0247</t>
  </si>
  <si>
    <t>CUST0318</t>
  </si>
  <si>
    <t>INV2-0248</t>
  </si>
  <si>
    <t>Customer_383</t>
  </si>
  <si>
    <t>CUST0296</t>
  </si>
  <si>
    <t>INV2-0249</t>
  </si>
  <si>
    <t>CUST0403</t>
  </si>
  <si>
    <t>INV2-0250</t>
  </si>
  <si>
    <t>Customer_210</t>
  </si>
  <si>
    <t>INV2-0251</t>
  </si>
  <si>
    <t>CUST0073</t>
  </si>
  <si>
    <t>INV2-0252</t>
  </si>
  <si>
    <t>Customer_436</t>
  </si>
  <si>
    <t>INV2-0253</t>
  </si>
  <si>
    <t>Customer_43</t>
  </si>
  <si>
    <t>INV2-0254</t>
  </si>
  <si>
    <t>Customer_485</t>
  </si>
  <si>
    <t>INV2-0255</t>
  </si>
  <si>
    <t>Customer_34</t>
  </si>
  <si>
    <t>INV2-0256</t>
  </si>
  <si>
    <t>Customer_469</t>
  </si>
  <si>
    <t>CUST0446</t>
  </si>
  <si>
    <t>INV2-0257</t>
  </si>
  <si>
    <t>Customer_478</t>
  </si>
  <si>
    <t>CUST0265</t>
  </si>
  <si>
    <t>INV2-0258</t>
  </si>
  <si>
    <t>Customer_221</t>
  </si>
  <si>
    <t>CUST0055</t>
  </si>
  <si>
    <t>INV2-0259</t>
  </si>
  <si>
    <t>CUST0360</t>
  </si>
  <si>
    <t>INV2-0260</t>
  </si>
  <si>
    <t>Customer_264</t>
  </si>
  <si>
    <t>CUST0276</t>
  </si>
  <si>
    <t>INV2-0261</t>
  </si>
  <si>
    <t>CUST0188</t>
  </si>
  <si>
    <t>INV2-0262</t>
  </si>
  <si>
    <t>CUST0439</t>
  </si>
  <si>
    <t>INV2-0263</t>
  </si>
  <si>
    <t>Customer_245</t>
  </si>
  <si>
    <t>CUST0433</t>
  </si>
  <si>
    <t>INV2-0264</t>
  </si>
  <si>
    <t>INV2-0265</t>
  </si>
  <si>
    <t>INV2-0266</t>
  </si>
  <si>
    <t>CUST0437</t>
  </si>
  <si>
    <t>INV2-0267</t>
  </si>
  <si>
    <t>INV2-0268</t>
  </si>
  <si>
    <t>Customer_369</t>
  </si>
  <si>
    <t>INV2-0269</t>
  </si>
  <si>
    <t>Customer_129</t>
  </si>
  <si>
    <t>CUST0444</t>
  </si>
  <si>
    <t>INV2-0270</t>
  </si>
  <si>
    <t>Customer_54</t>
  </si>
  <si>
    <t>INV2-0271</t>
  </si>
  <si>
    <t>Customer_433</t>
  </si>
  <si>
    <t>CUST0340</t>
  </si>
  <si>
    <t>INV2-0272</t>
  </si>
  <si>
    <t>Customer_9</t>
  </si>
  <si>
    <t>INV2-0273</t>
  </si>
  <si>
    <t>CUST0136</t>
  </si>
  <si>
    <t>INV2-0274</t>
  </si>
  <si>
    <t>Customer_359</t>
  </si>
  <si>
    <t>INV2-0275</t>
  </si>
  <si>
    <t>CUST0373</t>
  </si>
  <si>
    <t>INV2-0276</t>
  </si>
  <si>
    <t>Customer_390</t>
  </si>
  <si>
    <t>INV2-0277</t>
  </si>
  <si>
    <t>INV2-0278</t>
  </si>
  <si>
    <t>INV2-0279</t>
  </si>
  <si>
    <t>Customer_454</t>
  </si>
  <si>
    <t>CUST0142</t>
  </si>
  <si>
    <t>INV2-0280</t>
  </si>
  <si>
    <t>CUST0020</t>
  </si>
  <si>
    <t>INV2-0281</t>
  </si>
  <si>
    <t>Customer_490</t>
  </si>
  <si>
    <t>CUST0208</t>
  </si>
  <si>
    <t>INV2-0282</t>
  </si>
  <si>
    <t>Customer_421</t>
  </si>
  <si>
    <t>INV2-0283</t>
  </si>
  <si>
    <t>CUST0095</t>
  </si>
  <si>
    <t>INV2-0284</t>
  </si>
  <si>
    <t>INV2-0285</t>
  </si>
  <si>
    <t>Customer_280</t>
  </si>
  <si>
    <t>CUST0057</t>
  </si>
  <si>
    <t>INV2-0286</t>
  </si>
  <si>
    <t>CUST0374</t>
  </si>
  <si>
    <t>INV2-0287</t>
  </si>
  <si>
    <t>Customer_25</t>
  </si>
  <si>
    <t>INV2-0288</t>
  </si>
  <si>
    <t>Customer_463</t>
  </si>
  <si>
    <t>CUST0471</t>
  </si>
  <si>
    <t>INV2-0289</t>
  </si>
  <si>
    <t>Customer_456</t>
  </si>
  <si>
    <t>CUST0266</t>
  </si>
  <si>
    <t>INV2-0290</t>
  </si>
  <si>
    <t>CUST0327</t>
  </si>
  <si>
    <t>INV2-0291</t>
  </si>
  <si>
    <t>CUST0016</t>
  </si>
  <si>
    <t>INV2-0292</t>
  </si>
  <si>
    <t>Customer_109</t>
  </si>
  <si>
    <t>INV2-0293</t>
  </si>
  <si>
    <t>Customer_213</t>
  </si>
  <si>
    <t>CUST0060</t>
  </si>
  <si>
    <t>INV2-0294</t>
  </si>
  <si>
    <t>Customer_410</t>
  </si>
  <si>
    <t>INV2-0295</t>
  </si>
  <si>
    <t>Customer_19</t>
  </si>
  <si>
    <t>INV2-0296</t>
  </si>
  <si>
    <t>CUST0087</t>
  </si>
  <si>
    <t>INV2-0297</t>
  </si>
  <si>
    <t>INV2-0298</t>
  </si>
  <si>
    <t>CUST0113</t>
  </si>
  <si>
    <t>INV2-0299</t>
  </si>
  <si>
    <t>CUST0394</t>
  </si>
  <si>
    <t>INV2-0300</t>
  </si>
  <si>
    <t>Customer_173</t>
  </si>
  <si>
    <t>CUST0063</t>
  </si>
  <si>
    <t>INV2-0301</t>
  </si>
  <si>
    <t>CUST0428</t>
  </si>
  <si>
    <t>INV2-0302</t>
  </si>
  <si>
    <t>Customer_184</t>
  </si>
  <si>
    <t>INV2-0303</t>
  </si>
  <si>
    <t>INV2-0304</t>
  </si>
  <si>
    <t>Customer_468</t>
  </si>
  <si>
    <t>CUST0059</t>
  </si>
  <si>
    <t>INV2-0305</t>
  </si>
  <si>
    <t>CUST0427</t>
  </si>
  <si>
    <t>INV2-0306</t>
  </si>
  <si>
    <t>Customer_408</t>
  </si>
  <si>
    <t>INV2-0307</t>
  </si>
  <si>
    <t>Customer_103</t>
  </si>
  <si>
    <t>CUST0184</t>
  </si>
  <si>
    <t>INV2-0308</t>
  </si>
  <si>
    <t>Customer_474</t>
  </si>
  <si>
    <t>CUST0017</t>
  </si>
  <si>
    <t>INV2-0309</t>
  </si>
  <si>
    <t>INV2-0310</t>
  </si>
  <si>
    <t>INV2-0311</t>
  </si>
  <si>
    <t>INV2-0312</t>
  </si>
  <si>
    <t>Customer_93</t>
  </si>
  <si>
    <t>CUST0441</t>
  </si>
  <si>
    <t>INV2-0313</t>
  </si>
  <si>
    <t>INV2-0314</t>
  </si>
  <si>
    <t>Customer_169</t>
  </si>
  <si>
    <t>CUST0352</t>
  </si>
  <si>
    <t>INV2-0315</t>
  </si>
  <si>
    <t>Customer_32</t>
  </si>
  <si>
    <t>INV2-0316</t>
  </si>
  <si>
    <t>Customer_115</t>
  </si>
  <si>
    <t>CUST0109</t>
  </si>
  <si>
    <t>INV2-0317</t>
  </si>
  <si>
    <t>INV2-0318</t>
  </si>
  <si>
    <t>Customer_451</t>
  </si>
  <si>
    <t>CUST0370</t>
  </si>
  <si>
    <t>INV2-0319</t>
  </si>
  <si>
    <t>Customer_74</t>
  </si>
  <si>
    <t>INV2-0320</t>
  </si>
  <si>
    <t>INV2-0321</t>
  </si>
  <si>
    <t>INV2-0322</t>
  </si>
  <si>
    <t>Customer_325</t>
  </si>
  <si>
    <t>INV2-0323</t>
  </si>
  <si>
    <t>INV2-0324</t>
  </si>
  <si>
    <t>Customer_36</t>
  </si>
  <si>
    <t>CUST0235</t>
  </si>
  <si>
    <t>INV2-0325</t>
  </si>
  <si>
    <t>Customer_256</t>
  </si>
  <si>
    <t>INV2-0326</t>
  </si>
  <si>
    <t>Customer_297</t>
  </si>
  <si>
    <t>CUST0474</t>
  </si>
  <si>
    <t>INV2-0327</t>
  </si>
  <si>
    <t>Customer_333</t>
  </si>
  <si>
    <t>CUST0222</t>
  </si>
  <si>
    <t>INV2-0328</t>
  </si>
  <si>
    <t>CUST0269</t>
  </si>
  <si>
    <t>INV2-0329</t>
  </si>
  <si>
    <t>Customer_68</t>
  </si>
  <si>
    <t>CUST0028</t>
  </si>
  <si>
    <t>INV2-0330</t>
  </si>
  <si>
    <t>CUST0161</t>
  </si>
  <si>
    <t>INV2-0331</t>
  </si>
  <si>
    <t>CUST0399</t>
  </si>
  <si>
    <t>INV2-0332</t>
  </si>
  <si>
    <t>CUST0498</t>
  </si>
  <si>
    <t>INV2-0333</t>
  </si>
  <si>
    <t>Customer_313</t>
  </si>
  <si>
    <t>CUST0209</t>
  </si>
  <si>
    <t>INV2-0334</t>
  </si>
  <si>
    <t>Customer_372</t>
  </si>
  <si>
    <t>CUST0415</t>
  </si>
  <si>
    <t>INV2-0335</t>
  </si>
  <si>
    <t>Customer_284</t>
  </si>
  <si>
    <t>CUST0289</t>
  </si>
  <si>
    <t>INV2-0336</t>
  </si>
  <si>
    <t>CUST0239</t>
  </si>
  <si>
    <t>INV2-0337</t>
  </si>
  <si>
    <t>CUST0181</t>
  </si>
  <si>
    <t>INV2-0338</t>
  </si>
  <si>
    <t>INV2-0339</t>
  </si>
  <si>
    <t>INV2-0340</t>
  </si>
  <si>
    <t>Customer_208</t>
  </si>
  <si>
    <t>CUST0119</t>
  </si>
  <si>
    <t>INV2-0341</t>
  </si>
  <si>
    <t>INV2-0342</t>
  </si>
  <si>
    <t>CUST0152</t>
  </si>
  <si>
    <t>INV2-0343</t>
  </si>
  <si>
    <t>Customer_18</t>
  </si>
  <si>
    <t>CUST0482</t>
  </si>
  <si>
    <t>INV2-0344</t>
  </si>
  <si>
    <t>CUST0094</t>
  </si>
  <si>
    <t>INV2-0345</t>
  </si>
  <si>
    <t>Customer_82</t>
  </si>
  <si>
    <t>INV2-0346</t>
  </si>
  <si>
    <t>Customer_346</t>
  </si>
  <si>
    <t>INV2-0347</t>
  </si>
  <si>
    <t>INV2-0348</t>
  </si>
  <si>
    <t>Customer_470</t>
  </si>
  <si>
    <t>CUST0335</t>
  </si>
  <si>
    <t>INV2-0349</t>
  </si>
  <si>
    <t>Customer_465</t>
  </si>
  <si>
    <t>INV2-0350</t>
  </si>
  <si>
    <t>CUST0267</t>
  </si>
  <si>
    <t>INV2-0351</t>
  </si>
  <si>
    <t>Customer_231</t>
  </si>
  <si>
    <t>CUST0354</t>
  </si>
  <si>
    <t>INV2-0352</t>
  </si>
  <si>
    <t>INV2-0353</t>
  </si>
  <si>
    <t>INV2-0354</t>
  </si>
  <si>
    <t>INV2-0355</t>
  </si>
  <si>
    <t>CUST0298</t>
  </si>
  <si>
    <t>INV2-0356</t>
  </si>
  <si>
    <t>Customer_484</t>
  </si>
  <si>
    <t>CUST0154</t>
  </si>
  <si>
    <t>INV2-0357</t>
  </si>
  <si>
    <t>INV2-0358</t>
  </si>
  <si>
    <t>Customer_183</t>
  </si>
  <si>
    <t>CUST0345</t>
  </si>
  <si>
    <t>INV2-0359</t>
  </si>
  <si>
    <t>Customer_247</t>
  </si>
  <si>
    <t>CUST0085</t>
  </si>
  <si>
    <t>INV2-0360</t>
  </si>
  <si>
    <t>INV2-0361</t>
  </si>
  <si>
    <t>Customer_69</t>
  </si>
  <si>
    <t>INV2-0362</t>
  </si>
  <si>
    <t>Customer_324</t>
  </si>
  <si>
    <t>CUST0149</t>
  </si>
  <si>
    <t>INV2-0363</t>
  </si>
  <si>
    <t>INV2-0364</t>
  </si>
  <si>
    <t>Customer_38</t>
  </si>
  <si>
    <t>INV2-0365</t>
  </si>
  <si>
    <t>INV2-0366</t>
  </si>
  <si>
    <t>Customer_97</t>
  </si>
  <si>
    <t>INV2-0367</t>
  </si>
  <si>
    <t>INV2-0368</t>
  </si>
  <si>
    <t>Customer_194</t>
  </si>
  <si>
    <t>CUST0451</t>
  </si>
  <si>
    <t>INV2-0369</t>
  </si>
  <si>
    <t>CUST0070</t>
  </si>
  <si>
    <t>INV2-0370</t>
  </si>
  <si>
    <t>INV2-0371</t>
  </si>
  <si>
    <t>Customer_366</t>
  </si>
  <si>
    <t>INV2-0372</t>
  </si>
  <si>
    <t>INV2-0373</t>
  </si>
  <si>
    <t>Customer_291</t>
  </si>
  <si>
    <t>CUST0273</t>
  </si>
  <si>
    <t>INV2-0374</t>
  </si>
  <si>
    <t>Customer_148</t>
  </si>
  <si>
    <t>CUST0009</t>
  </si>
  <si>
    <t>INV2-0375</t>
  </si>
  <si>
    <t>INV2-0376</t>
  </si>
  <si>
    <t>CUST0068</t>
  </si>
  <si>
    <t>INV2-0377</t>
  </si>
  <si>
    <t>INV2-0378</t>
  </si>
  <si>
    <t>CUST0351</t>
  </si>
  <si>
    <t>INV2-0379</t>
  </si>
  <si>
    <t>INV2-0380</t>
  </si>
  <si>
    <t>INV2-0381</t>
  </si>
  <si>
    <t>INV2-0382</t>
  </si>
  <si>
    <t>Customer_400</t>
  </si>
  <si>
    <t>INV2-0383</t>
  </si>
  <si>
    <t>Customer_13</t>
  </si>
  <si>
    <t>INV2-0384</t>
  </si>
  <si>
    <t>CUST0338</t>
  </si>
  <si>
    <t>INV2-0385</t>
  </si>
  <si>
    <t>Customer_259</t>
  </si>
  <si>
    <t>INV2-0386</t>
  </si>
  <si>
    <t>Customer_444</t>
  </si>
  <si>
    <t>INV2-0387</t>
  </si>
  <si>
    <t>Customer_358</t>
  </si>
  <si>
    <t>CUST0448</t>
  </si>
  <si>
    <t>INV2-0388</t>
  </si>
  <si>
    <t>CUST0225</t>
  </si>
  <si>
    <t>INV2-0389</t>
  </si>
  <si>
    <t>Customer_442</t>
  </si>
  <si>
    <t>INV2-0390</t>
  </si>
  <si>
    <t>INV2-0391</t>
  </si>
  <si>
    <t>Customer_51</t>
  </si>
  <si>
    <t>INV2-0392</t>
  </si>
  <si>
    <t>Customer_29</t>
  </si>
  <si>
    <t>INV2-0393</t>
  </si>
  <si>
    <t>Customer_476</t>
  </si>
  <si>
    <t>CUST0492</t>
  </si>
  <si>
    <t>INV2-0394</t>
  </si>
  <si>
    <t>INV2-0395</t>
  </si>
  <si>
    <t>INV2-0396</t>
  </si>
  <si>
    <t>INV2-0397</t>
  </si>
  <si>
    <t>CUST0243</t>
  </si>
  <si>
    <t>INV2-0398</t>
  </si>
  <si>
    <t>INV2-0399</t>
  </si>
  <si>
    <t>CUST0169</t>
  </si>
  <si>
    <t>INV2-0400</t>
  </si>
  <si>
    <t>Customer_292</t>
  </si>
  <si>
    <t>Row Labels</t>
  </si>
  <si>
    <t>Grand Total</t>
  </si>
  <si>
    <t>Sum of Net Amount</t>
  </si>
  <si>
    <t>Sum of Quantity</t>
  </si>
  <si>
    <t>Sum of Gross Amount</t>
  </si>
  <si>
    <t>Sum of Taxable Amount</t>
  </si>
  <si>
    <t>Gross Amount(in lakh)</t>
  </si>
  <si>
    <t>Category</t>
  </si>
  <si>
    <t xml:space="preserve"> Taxable Amount(in lakh)</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</si>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</sst>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3" x14ac:knownFonts="1">
    <font>
      <sz val="11"/>
      <color theme="1"/>
      <name val="Calibri"/>
      <family val="2"/>
      <scheme val="minor"/>
    </font>
    <font>
      <sz val="20"/>
      <color theme="1"/>
      <name val="Calibri"/>
      <family val="2"/>
      <scheme val="minor"/>
    </font>
    <font>
      <sz val="20"/>
      <color theme="1"/>
      <name val="Algerian"/>
      <family val="5"/>
    </font>
  </fonts>
  <fills count="5">
    <fill>
      <patternFill patternType="none"/>
    </fill>
    <fill>
      <patternFill patternType="gray125"/>
    </fill>
    <fill>
      <patternFill patternType="solid">
        <fgColor theme="3" tint="0.79998168889431442"/>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165" fontId="0" fillId="0" borderId="1" xfId="0" applyNumberFormat="1" applyBorder="1" applyAlignment="1">
      <alignment horizont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1" fillId="4" borderId="0" xfId="0" applyFont="1" applyFill="1"/>
    <xf numFmtId="0" fontId="0" fillId="4" borderId="0" xfId="0" applyFill="1"/>
    <xf numFmtId="0" fontId="2"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dashborad.xlsx]Sheet1!PivotTable1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Category Wise  Sale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cat>
            <c:strRef>
              <c:f>Sheet1!$A$4:$A$7</c:f>
              <c:strCache>
                <c:ptCount val="4"/>
                <c:pt idx="0">
                  <c:v>Clothing</c:v>
                </c:pt>
                <c:pt idx="1">
                  <c:v>Electronics</c:v>
                </c:pt>
                <c:pt idx="2">
                  <c:v>Furniture</c:v>
                </c:pt>
                <c:pt idx="3">
                  <c:v>Stationery</c:v>
                </c:pt>
              </c:strCache>
            </c:strRef>
          </c:cat>
          <c:val>
            <c:numRef>
              <c:f>Sheet1!$B$4:$B$7</c:f>
              <c:numCache>
                <c:formatCode>General</c:formatCode>
                <c:ptCount val="4"/>
                <c:pt idx="0">
                  <c:v>49187364</c:v>
                </c:pt>
                <c:pt idx="1">
                  <c:v>33238672</c:v>
                </c:pt>
                <c:pt idx="2">
                  <c:v>38199831</c:v>
                </c:pt>
                <c:pt idx="3">
                  <c:v>45886719</c:v>
                </c:pt>
              </c:numCache>
            </c:numRef>
          </c:val>
          <c:extLst>
            <c:ext xmlns:c16="http://schemas.microsoft.com/office/drawing/2014/chart" uri="{C3380CC4-5D6E-409C-BE32-E72D297353CC}">
              <c16:uniqueId val="{00000000-66DF-4425-AF0C-D80E8E72AD9E}"/>
            </c:ext>
          </c:extLst>
        </c:ser>
        <c:dLbls>
          <c:showLegendKey val="0"/>
          <c:showVal val="0"/>
          <c:showCatName val="0"/>
          <c:showSerName val="0"/>
          <c:showPercent val="0"/>
          <c:showBubbleSize val="0"/>
        </c:dLbls>
        <c:gapWidth val="219"/>
        <c:overlap val="-27"/>
        <c:axId val="566504847"/>
        <c:axId val="566505327"/>
      </c:barChart>
      <c:catAx>
        <c:axId val="56650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05327"/>
        <c:crosses val="autoZero"/>
        <c:auto val="1"/>
        <c:lblAlgn val="ctr"/>
        <c:lblOffset val="100"/>
        <c:noMultiLvlLbl val="0"/>
      </c:catAx>
      <c:valAx>
        <c:axId val="566505327"/>
        <c:scaling>
          <c:orientation val="minMax"/>
        </c:scaling>
        <c:delete val="1"/>
        <c:axPos val="l"/>
        <c:numFmt formatCode="General" sourceLinked="1"/>
        <c:majorTickMark val="none"/>
        <c:minorTickMark val="none"/>
        <c:tickLblPos val="nextTo"/>
        <c:crossAx val="56650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dashborad.xlsx]Sheet2!PivotTable2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a:t>
            </a:r>
            <a:r>
              <a:rPr lang="en-US" b="1" baseline="0"/>
              <a:t> Wise Sale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cat>
            <c:strRef>
              <c:f>Sheet2!$A$4:$A$10</c:f>
              <c:strCache>
                <c:ptCount val="6"/>
                <c:pt idx="0">
                  <c:v>Delhi</c:v>
                </c:pt>
                <c:pt idx="1">
                  <c:v>Gujarat</c:v>
                </c:pt>
                <c:pt idx="2">
                  <c:v>Karnataka</c:v>
                </c:pt>
                <c:pt idx="3">
                  <c:v>Maharashtra</c:v>
                </c:pt>
                <c:pt idx="4">
                  <c:v>Rajasthan</c:v>
                </c:pt>
                <c:pt idx="5">
                  <c:v>Tamil Nadu</c:v>
                </c:pt>
              </c:strCache>
            </c:strRef>
          </c:cat>
          <c:val>
            <c:numRef>
              <c:f>Sheet2!$B$4:$B$10</c:f>
              <c:numCache>
                <c:formatCode>General</c:formatCode>
                <c:ptCount val="6"/>
                <c:pt idx="0">
                  <c:v>20678614</c:v>
                </c:pt>
                <c:pt idx="1">
                  <c:v>27151696</c:v>
                </c:pt>
                <c:pt idx="2">
                  <c:v>25830786</c:v>
                </c:pt>
                <c:pt idx="3">
                  <c:v>30798849</c:v>
                </c:pt>
                <c:pt idx="4">
                  <c:v>33086886</c:v>
                </c:pt>
                <c:pt idx="5">
                  <c:v>28965755</c:v>
                </c:pt>
              </c:numCache>
            </c:numRef>
          </c:val>
          <c:extLst>
            <c:ext xmlns:c16="http://schemas.microsoft.com/office/drawing/2014/chart" uri="{C3380CC4-5D6E-409C-BE32-E72D297353CC}">
              <c16:uniqueId val="{00000000-79F9-4984-BD61-16804266B4BC}"/>
            </c:ext>
          </c:extLst>
        </c:ser>
        <c:dLbls>
          <c:showLegendKey val="0"/>
          <c:showVal val="0"/>
          <c:showCatName val="0"/>
          <c:showSerName val="0"/>
          <c:showPercent val="0"/>
          <c:showBubbleSize val="0"/>
        </c:dLbls>
        <c:gapWidth val="219"/>
        <c:overlap val="-27"/>
        <c:axId val="574584991"/>
        <c:axId val="574581631"/>
      </c:barChart>
      <c:catAx>
        <c:axId val="5745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81631"/>
        <c:crosses val="autoZero"/>
        <c:auto val="1"/>
        <c:lblAlgn val="ctr"/>
        <c:lblOffset val="100"/>
        <c:noMultiLvlLbl val="0"/>
      </c:catAx>
      <c:valAx>
        <c:axId val="574581631"/>
        <c:scaling>
          <c:orientation val="minMax"/>
        </c:scaling>
        <c:delete val="1"/>
        <c:axPos val="l"/>
        <c:numFmt formatCode="General" sourceLinked="1"/>
        <c:majorTickMark val="none"/>
        <c:minorTickMark val="none"/>
        <c:tickLblPos val="nextTo"/>
        <c:crossAx val="57458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dashborad.xlsx]Sheet3!PivotTable3</c:name>
    <c:fmtId val="1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Person wise sale</a:t>
            </a:r>
          </a:p>
        </c:rich>
      </c:tx>
      <c:layout>
        <c:manualLayout>
          <c:xMode val="edge"/>
          <c:yMode val="edge"/>
          <c:x val="0.38014545372030223"/>
          <c:y val="9.235474006116209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2"/>
            </a:solidFill>
            <a:ln>
              <a:noFill/>
            </a:ln>
            <a:effectLst/>
          </c:spPr>
          <c:invertIfNegative val="0"/>
          <c:cat>
            <c:strRef>
              <c:f>Sheet3!$A$4:$A$10</c:f>
              <c:strCache>
                <c:ptCount val="6"/>
                <c:pt idx="0">
                  <c:v>Amit</c:v>
                </c:pt>
                <c:pt idx="1">
                  <c:v>Kunal</c:v>
                </c:pt>
                <c:pt idx="2">
                  <c:v>Neha</c:v>
                </c:pt>
                <c:pt idx="3">
                  <c:v>Priya</c:v>
                </c:pt>
                <c:pt idx="4">
                  <c:v>Rohit</c:v>
                </c:pt>
                <c:pt idx="5">
                  <c:v>Sneha</c:v>
                </c:pt>
              </c:strCache>
            </c:strRef>
          </c:cat>
          <c:val>
            <c:numRef>
              <c:f>Sheet3!$B$4:$B$10</c:f>
              <c:numCache>
                <c:formatCode>General</c:formatCode>
                <c:ptCount val="6"/>
                <c:pt idx="0">
                  <c:v>22310156</c:v>
                </c:pt>
                <c:pt idx="1">
                  <c:v>31469706</c:v>
                </c:pt>
                <c:pt idx="2">
                  <c:v>27852144</c:v>
                </c:pt>
                <c:pt idx="3">
                  <c:v>27456191</c:v>
                </c:pt>
                <c:pt idx="4">
                  <c:v>25413735</c:v>
                </c:pt>
                <c:pt idx="5">
                  <c:v>32010654</c:v>
                </c:pt>
              </c:numCache>
            </c:numRef>
          </c:val>
          <c:extLst>
            <c:ext xmlns:c16="http://schemas.microsoft.com/office/drawing/2014/chart" uri="{C3380CC4-5D6E-409C-BE32-E72D297353CC}">
              <c16:uniqueId val="{00000000-8AEC-4BF8-A323-20B3EA1F9ADA}"/>
            </c:ext>
          </c:extLst>
        </c:ser>
        <c:dLbls>
          <c:showLegendKey val="0"/>
          <c:showVal val="0"/>
          <c:showCatName val="0"/>
          <c:showSerName val="0"/>
          <c:showPercent val="0"/>
          <c:showBubbleSize val="0"/>
        </c:dLbls>
        <c:gapWidth val="219"/>
        <c:axId val="800696783"/>
        <c:axId val="800695343"/>
      </c:barChart>
      <c:catAx>
        <c:axId val="80069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5343"/>
        <c:crosses val="autoZero"/>
        <c:auto val="1"/>
        <c:lblAlgn val="ctr"/>
        <c:lblOffset val="100"/>
        <c:noMultiLvlLbl val="0"/>
      </c:catAx>
      <c:valAx>
        <c:axId val="800695343"/>
        <c:scaling>
          <c:orientation val="minMax"/>
        </c:scaling>
        <c:delete val="1"/>
        <c:axPos val="b"/>
        <c:numFmt formatCode="General" sourceLinked="1"/>
        <c:majorTickMark val="none"/>
        <c:minorTickMark val="none"/>
        <c:tickLblPos val="nextTo"/>
        <c:crossAx val="8006967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dashborad.xlsx]Sheet4!PivotTable4</c:name>
    <c:fmtId val="6"/>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Year wise sale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Sheet4!$A$4:$A$12</c:f>
              <c:strCache>
                <c:ptCount val="8"/>
                <c:pt idx="0">
                  <c:v>2019</c:v>
                </c:pt>
                <c:pt idx="1">
                  <c:v>2020</c:v>
                </c:pt>
                <c:pt idx="2">
                  <c:v>2021</c:v>
                </c:pt>
                <c:pt idx="3">
                  <c:v>2022</c:v>
                </c:pt>
                <c:pt idx="4">
                  <c:v>2023</c:v>
                </c:pt>
                <c:pt idx="5">
                  <c:v>2024</c:v>
                </c:pt>
                <c:pt idx="6">
                  <c:v>2025</c:v>
                </c:pt>
                <c:pt idx="7">
                  <c:v>(blank)</c:v>
                </c:pt>
              </c:strCache>
            </c:strRef>
          </c:cat>
          <c:val>
            <c:numRef>
              <c:f>Sheet4!$B$4:$B$12</c:f>
              <c:numCache>
                <c:formatCode>General</c:formatCode>
                <c:ptCount val="8"/>
                <c:pt idx="0">
                  <c:v>28632743</c:v>
                </c:pt>
                <c:pt idx="1">
                  <c:v>22542397</c:v>
                </c:pt>
                <c:pt idx="2">
                  <c:v>34619010</c:v>
                </c:pt>
                <c:pt idx="3">
                  <c:v>27362577</c:v>
                </c:pt>
                <c:pt idx="4">
                  <c:v>22855389</c:v>
                </c:pt>
                <c:pt idx="5">
                  <c:v>29932684</c:v>
                </c:pt>
                <c:pt idx="6">
                  <c:v>567786</c:v>
                </c:pt>
              </c:numCache>
            </c:numRef>
          </c:val>
          <c:smooth val="0"/>
          <c:extLst>
            <c:ext xmlns:c16="http://schemas.microsoft.com/office/drawing/2014/chart" uri="{C3380CC4-5D6E-409C-BE32-E72D297353CC}">
              <c16:uniqueId val="{00000000-9E24-4DA2-8985-0B07A3983DE6}"/>
            </c:ext>
          </c:extLst>
        </c:ser>
        <c:dLbls>
          <c:showLegendKey val="0"/>
          <c:showVal val="0"/>
          <c:showCatName val="0"/>
          <c:showSerName val="0"/>
          <c:showPercent val="0"/>
          <c:showBubbleSize val="0"/>
        </c:dLbls>
        <c:smooth val="0"/>
        <c:axId val="684385007"/>
        <c:axId val="684383567"/>
      </c:lineChart>
      <c:catAx>
        <c:axId val="684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383567"/>
        <c:crosses val="autoZero"/>
        <c:auto val="1"/>
        <c:lblAlgn val="ctr"/>
        <c:lblOffset val="100"/>
        <c:noMultiLvlLbl val="0"/>
      </c:catAx>
      <c:valAx>
        <c:axId val="684383567"/>
        <c:scaling>
          <c:orientation val="minMax"/>
        </c:scaling>
        <c:delete val="1"/>
        <c:axPos val="l"/>
        <c:numFmt formatCode="General" sourceLinked="1"/>
        <c:majorTickMark val="none"/>
        <c:minorTickMark val="none"/>
        <c:tickLblPos val="nextTo"/>
        <c:crossAx val="68438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dashborad.xlsx]Sheet5!PivotTable5</c:name>
    <c:fmtId val="19"/>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Product wise sale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Quantity</c:v>
                </c:pt>
              </c:strCache>
            </c:strRef>
          </c:tx>
          <c:spPr>
            <a:solidFill>
              <a:schemeClr val="accent1"/>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Sheet5!$B$4:$B$12</c:f>
              <c:numCache>
                <c:formatCode>General</c:formatCode>
                <c:ptCount val="8"/>
                <c:pt idx="0">
                  <c:v>678</c:v>
                </c:pt>
                <c:pt idx="1">
                  <c:v>865</c:v>
                </c:pt>
                <c:pt idx="2">
                  <c:v>684</c:v>
                </c:pt>
                <c:pt idx="3">
                  <c:v>560</c:v>
                </c:pt>
                <c:pt idx="4">
                  <c:v>851</c:v>
                </c:pt>
                <c:pt idx="5">
                  <c:v>926</c:v>
                </c:pt>
                <c:pt idx="6">
                  <c:v>807</c:v>
                </c:pt>
                <c:pt idx="7">
                  <c:v>883</c:v>
                </c:pt>
              </c:numCache>
            </c:numRef>
          </c:val>
          <c:extLst>
            <c:ext xmlns:c16="http://schemas.microsoft.com/office/drawing/2014/chart" uri="{C3380CC4-5D6E-409C-BE32-E72D297353CC}">
              <c16:uniqueId val="{00000000-E318-4A2D-B820-DA56F8554EB7}"/>
            </c:ext>
          </c:extLst>
        </c:ser>
        <c:ser>
          <c:idx val="1"/>
          <c:order val="1"/>
          <c:tx>
            <c:strRef>
              <c:f>Sheet5!$C$3</c:f>
              <c:strCache>
                <c:ptCount val="1"/>
                <c:pt idx="0">
                  <c:v>Sum of Net Amount</c:v>
                </c:pt>
              </c:strCache>
            </c:strRef>
          </c:tx>
          <c:spPr>
            <a:solidFill>
              <a:schemeClr val="accent2"/>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Sheet5!$C$4:$C$12</c:f>
              <c:numCache>
                <c:formatCode>General</c:formatCode>
                <c:ptCount val="8"/>
                <c:pt idx="0">
                  <c:v>17802329</c:v>
                </c:pt>
                <c:pt idx="1">
                  <c:v>27276091</c:v>
                </c:pt>
                <c:pt idx="2">
                  <c:v>16665477</c:v>
                </c:pt>
                <c:pt idx="3">
                  <c:v>16573195</c:v>
                </c:pt>
                <c:pt idx="4">
                  <c:v>20552028</c:v>
                </c:pt>
                <c:pt idx="5">
                  <c:v>25334691</c:v>
                </c:pt>
                <c:pt idx="6">
                  <c:v>20397502</c:v>
                </c:pt>
                <c:pt idx="7">
                  <c:v>21911273</c:v>
                </c:pt>
              </c:numCache>
            </c:numRef>
          </c:val>
          <c:extLst>
            <c:ext xmlns:c16="http://schemas.microsoft.com/office/drawing/2014/chart" uri="{C3380CC4-5D6E-409C-BE32-E72D297353CC}">
              <c16:uniqueId val="{00000001-E318-4A2D-B820-DA56F8554EB7}"/>
            </c:ext>
          </c:extLst>
        </c:ser>
        <c:dLbls>
          <c:showLegendKey val="0"/>
          <c:showVal val="0"/>
          <c:showCatName val="0"/>
          <c:showSerName val="0"/>
          <c:showPercent val="0"/>
          <c:showBubbleSize val="0"/>
        </c:dLbls>
        <c:gapWidth val="150"/>
        <c:axId val="833077855"/>
        <c:axId val="833079295"/>
      </c:barChart>
      <c:catAx>
        <c:axId val="8330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79295"/>
        <c:crosses val="autoZero"/>
        <c:auto val="1"/>
        <c:lblAlgn val="ctr"/>
        <c:lblOffset val="100"/>
        <c:noMultiLvlLbl val="0"/>
      </c:catAx>
      <c:valAx>
        <c:axId val="833079295"/>
        <c:scaling>
          <c:orientation val="minMax"/>
        </c:scaling>
        <c:delete val="1"/>
        <c:axPos val="l"/>
        <c:numFmt formatCode="General" sourceLinked="1"/>
        <c:majorTickMark val="out"/>
        <c:minorTickMark val="none"/>
        <c:tickLblPos val="nextTo"/>
        <c:crossAx val="8330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4"/>
                <c:pt idx="0">
                  <c:v>Clothing</c:v>
                </c:pt>
                <c:pt idx="1">
                  <c:v>Electronics</c:v>
                </c:pt>
                <c:pt idx="2">
                  <c:v>Furniture</c:v>
                </c:pt>
                <c:pt idx="3">
                  <c:v>Stationery</c:v>
                </c:pt>
              </c:strCache>
            </c:strRef>
          </c:cat>
          <c:val>
            <c:numRef>
              <c:f>Sheet1!$B$4:$B$7</c:f>
              <c:numCache>
                <c:formatCode>General</c:formatCode>
                <c:ptCount val="4"/>
                <c:pt idx="0">
                  <c:v>49187364</c:v>
                </c:pt>
                <c:pt idx="1">
                  <c:v>33238672</c:v>
                </c:pt>
                <c:pt idx="2">
                  <c:v>38199831</c:v>
                </c:pt>
                <c:pt idx="3">
                  <c:v>45886719</c:v>
                </c:pt>
              </c:numCache>
            </c:numRef>
          </c:val>
          <c:extLst>
            <c:ext xmlns:c16="http://schemas.microsoft.com/office/drawing/2014/chart" uri="{C3380CC4-5D6E-409C-BE32-E72D297353CC}">
              <c16:uniqueId val="{00000000-0260-4EDF-AE42-4B20616AB0C8}"/>
            </c:ext>
          </c:extLst>
        </c:ser>
        <c:dLbls>
          <c:showLegendKey val="0"/>
          <c:showVal val="0"/>
          <c:showCatName val="0"/>
          <c:showSerName val="0"/>
          <c:showPercent val="0"/>
          <c:showBubbleSize val="0"/>
        </c:dLbls>
        <c:gapWidth val="219"/>
        <c:overlap val="-27"/>
        <c:axId val="566504847"/>
        <c:axId val="566505327"/>
      </c:barChart>
      <c:catAx>
        <c:axId val="56650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05327"/>
        <c:crosses val="autoZero"/>
        <c:auto val="1"/>
        <c:lblAlgn val="ctr"/>
        <c:lblOffset val="100"/>
        <c:noMultiLvlLbl val="0"/>
      </c:catAx>
      <c:valAx>
        <c:axId val="56650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0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Delhi</c:v>
                </c:pt>
                <c:pt idx="1">
                  <c:v>Gujarat</c:v>
                </c:pt>
                <c:pt idx="2">
                  <c:v>Karnataka</c:v>
                </c:pt>
                <c:pt idx="3">
                  <c:v>Maharashtra</c:v>
                </c:pt>
                <c:pt idx="4">
                  <c:v>Rajasthan</c:v>
                </c:pt>
                <c:pt idx="5">
                  <c:v>Tamil Nadu</c:v>
                </c:pt>
              </c:strCache>
            </c:strRef>
          </c:cat>
          <c:val>
            <c:numRef>
              <c:f>Sheet2!$B$4:$B$10</c:f>
              <c:numCache>
                <c:formatCode>General</c:formatCode>
                <c:ptCount val="6"/>
                <c:pt idx="0">
                  <c:v>20678614</c:v>
                </c:pt>
                <c:pt idx="1">
                  <c:v>27151696</c:v>
                </c:pt>
                <c:pt idx="2">
                  <c:v>25830786</c:v>
                </c:pt>
                <c:pt idx="3">
                  <c:v>30798849</c:v>
                </c:pt>
                <c:pt idx="4">
                  <c:v>33086886</c:v>
                </c:pt>
                <c:pt idx="5">
                  <c:v>28965755</c:v>
                </c:pt>
              </c:numCache>
            </c:numRef>
          </c:val>
          <c:extLst>
            <c:ext xmlns:c16="http://schemas.microsoft.com/office/drawing/2014/chart" uri="{C3380CC4-5D6E-409C-BE32-E72D297353CC}">
              <c16:uniqueId val="{00000000-E362-454E-A502-2EBEFF1BAEB0}"/>
            </c:ext>
          </c:extLst>
        </c:ser>
        <c:dLbls>
          <c:showLegendKey val="0"/>
          <c:showVal val="0"/>
          <c:showCatName val="0"/>
          <c:showSerName val="0"/>
          <c:showPercent val="0"/>
          <c:showBubbleSize val="0"/>
        </c:dLbls>
        <c:gapWidth val="219"/>
        <c:overlap val="-27"/>
        <c:axId val="574584991"/>
        <c:axId val="574581631"/>
      </c:barChart>
      <c:catAx>
        <c:axId val="5745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81631"/>
        <c:crosses val="autoZero"/>
        <c:auto val="1"/>
        <c:lblAlgn val="ctr"/>
        <c:lblOffset val="100"/>
        <c:noMultiLvlLbl val="0"/>
      </c:catAx>
      <c:valAx>
        <c:axId val="574581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458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Amit</c:v>
                </c:pt>
                <c:pt idx="1">
                  <c:v>Kunal</c:v>
                </c:pt>
                <c:pt idx="2">
                  <c:v>Neha</c:v>
                </c:pt>
                <c:pt idx="3">
                  <c:v>Priya</c:v>
                </c:pt>
                <c:pt idx="4">
                  <c:v>Rohit</c:v>
                </c:pt>
                <c:pt idx="5">
                  <c:v>Sneha</c:v>
                </c:pt>
              </c:strCache>
            </c:strRef>
          </c:cat>
          <c:val>
            <c:numRef>
              <c:f>Sheet3!$B$4:$B$10</c:f>
              <c:numCache>
                <c:formatCode>General</c:formatCode>
                <c:ptCount val="6"/>
                <c:pt idx="0">
                  <c:v>22310156</c:v>
                </c:pt>
                <c:pt idx="1">
                  <c:v>31469706</c:v>
                </c:pt>
                <c:pt idx="2">
                  <c:v>27852144</c:v>
                </c:pt>
                <c:pt idx="3">
                  <c:v>27456191</c:v>
                </c:pt>
                <c:pt idx="4">
                  <c:v>25413735</c:v>
                </c:pt>
                <c:pt idx="5">
                  <c:v>32010654</c:v>
                </c:pt>
              </c:numCache>
            </c:numRef>
          </c:val>
          <c:extLst>
            <c:ext xmlns:c16="http://schemas.microsoft.com/office/drawing/2014/chart" uri="{C3380CC4-5D6E-409C-BE32-E72D297353CC}">
              <c16:uniqueId val="{00000000-A0BF-42D9-B7A3-A2C9CBFBB980}"/>
            </c:ext>
          </c:extLst>
        </c:ser>
        <c:dLbls>
          <c:showLegendKey val="0"/>
          <c:showVal val="0"/>
          <c:showCatName val="0"/>
          <c:showSerName val="0"/>
          <c:showPercent val="0"/>
          <c:showBubbleSize val="0"/>
        </c:dLbls>
        <c:gapWidth val="219"/>
        <c:axId val="800696783"/>
        <c:axId val="800695343"/>
      </c:barChart>
      <c:catAx>
        <c:axId val="80069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5343"/>
        <c:crosses val="autoZero"/>
        <c:auto val="1"/>
        <c:lblAlgn val="ctr"/>
        <c:lblOffset val="100"/>
        <c:noMultiLvlLbl val="0"/>
      </c:catAx>
      <c:valAx>
        <c:axId val="80069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Sheet4!$A$4:$A$12</c:f>
              <c:strCache>
                <c:ptCount val="8"/>
                <c:pt idx="0">
                  <c:v>2019</c:v>
                </c:pt>
                <c:pt idx="1">
                  <c:v>2020</c:v>
                </c:pt>
                <c:pt idx="2">
                  <c:v>2021</c:v>
                </c:pt>
                <c:pt idx="3">
                  <c:v>2022</c:v>
                </c:pt>
                <c:pt idx="4">
                  <c:v>2023</c:v>
                </c:pt>
                <c:pt idx="5">
                  <c:v>2024</c:v>
                </c:pt>
                <c:pt idx="6">
                  <c:v>2025</c:v>
                </c:pt>
                <c:pt idx="7">
                  <c:v>(blank)</c:v>
                </c:pt>
              </c:strCache>
            </c:strRef>
          </c:cat>
          <c:val>
            <c:numRef>
              <c:f>Sheet4!$B$4:$B$12</c:f>
              <c:numCache>
                <c:formatCode>General</c:formatCode>
                <c:ptCount val="8"/>
                <c:pt idx="0">
                  <c:v>28632743</c:v>
                </c:pt>
                <c:pt idx="1">
                  <c:v>22542397</c:v>
                </c:pt>
                <c:pt idx="2">
                  <c:v>34619010</c:v>
                </c:pt>
                <c:pt idx="3">
                  <c:v>27362577</c:v>
                </c:pt>
                <c:pt idx="4">
                  <c:v>22855389</c:v>
                </c:pt>
                <c:pt idx="5">
                  <c:v>29932684</c:v>
                </c:pt>
                <c:pt idx="6">
                  <c:v>567786</c:v>
                </c:pt>
              </c:numCache>
            </c:numRef>
          </c:val>
          <c:smooth val="0"/>
          <c:extLst>
            <c:ext xmlns:c16="http://schemas.microsoft.com/office/drawing/2014/chart" uri="{C3380CC4-5D6E-409C-BE32-E72D297353CC}">
              <c16:uniqueId val="{00000000-14C8-45DF-9BDC-53AD57CBA317}"/>
            </c:ext>
          </c:extLst>
        </c:ser>
        <c:dLbls>
          <c:showLegendKey val="0"/>
          <c:showVal val="0"/>
          <c:showCatName val="0"/>
          <c:showSerName val="0"/>
          <c:showPercent val="0"/>
          <c:showBubbleSize val="0"/>
        </c:dLbls>
        <c:smooth val="0"/>
        <c:axId val="684385007"/>
        <c:axId val="684383567"/>
      </c:lineChart>
      <c:catAx>
        <c:axId val="684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383567"/>
        <c:crosses val="autoZero"/>
        <c:auto val="1"/>
        <c:lblAlgn val="ctr"/>
        <c:lblOffset val="100"/>
        <c:noMultiLvlLbl val="0"/>
      </c:catAx>
      <c:valAx>
        <c:axId val="6843835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4385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dashborad.xlsx]Sheet5!PivotTable5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Quantity</c:v>
                </c:pt>
              </c:strCache>
            </c:strRef>
          </c:tx>
          <c:spPr>
            <a:solidFill>
              <a:schemeClr val="accent1"/>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Sheet5!$B$4:$B$12</c:f>
              <c:numCache>
                <c:formatCode>General</c:formatCode>
                <c:ptCount val="8"/>
                <c:pt idx="0">
                  <c:v>678</c:v>
                </c:pt>
                <c:pt idx="1">
                  <c:v>865</c:v>
                </c:pt>
                <c:pt idx="2">
                  <c:v>684</c:v>
                </c:pt>
                <c:pt idx="3">
                  <c:v>560</c:v>
                </c:pt>
                <c:pt idx="4">
                  <c:v>851</c:v>
                </c:pt>
                <c:pt idx="5">
                  <c:v>926</c:v>
                </c:pt>
                <c:pt idx="6">
                  <c:v>807</c:v>
                </c:pt>
                <c:pt idx="7">
                  <c:v>883</c:v>
                </c:pt>
              </c:numCache>
            </c:numRef>
          </c:val>
          <c:extLst>
            <c:ext xmlns:c16="http://schemas.microsoft.com/office/drawing/2014/chart" uri="{C3380CC4-5D6E-409C-BE32-E72D297353CC}">
              <c16:uniqueId val="{00000000-5903-4A38-B651-5A3FC427624A}"/>
            </c:ext>
          </c:extLst>
        </c:ser>
        <c:ser>
          <c:idx val="1"/>
          <c:order val="1"/>
          <c:tx>
            <c:strRef>
              <c:f>Sheet5!$C$3</c:f>
              <c:strCache>
                <c:ptCount val="1"/>
                <c:pt idx="0">
                  <c:v>Sum of Net Amount</c:v>
                </c:pt>
              </c:strCache>
            </c:strRef>
          </c:tx>
          <c:spPr>
            <a:solidFill>
              <a:schemeClr val="accent2"/>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Sheet5!$C$4:$C$12</c:f>
              <c:numCache>
                <c:formatCode>General</c:formatCode>
                <c:ptCount val="8"/>
                <c:pt idx="0">
                  <c:v>17802329</c:v>
                </c:pt>
                <c:pt idx="1">
                  <c:v>27276091</c:v>
                </c:pt>
                <c:pt idx="2">
                  <c:v>16665477</c:v>
                </c:pt>
                <c:pt idx="3">
                  <c:v>16573195</c:v>
                </c:pt>
                <c:pt idx="4">
                  <c:v>20552028</c:v>
                </c:pt>
                <c:pt idx="5">
                  <c:v>25334691</c:v>
                </c:pt>
                <c:pt idx="6">
                  <c:v>20397502</c:v>
                </c:pt>
                <c:pt idx="7">
                  <c:v>21911273</c:v>
                </c:pt>
              </c:numCache>
            </c:numRef>
          </c:val>
          <c:extLst>
            <c:ext xmlns:c16="http://schemas.microsoft.com/office/drawing/2014/chart" uri="{C3380CC4-5D6E-409C-BE32-E72D297353CC}">
              <c16:uniqueId val="{00000001-5903-4A38-B651-5A3FC427624A}"/>
            </c:ext>
          </c:extLst>
        </c:ser>
        <c:dLbls>
          <c:showLegendKey val="0"/>
          <c:showVal val="0"/>
          <c:showCatName val="0"/>
          <c:showSerName val="0"/>
          <c:showPercent val="0"/>
          <c:showBubbleSize val="0"/>
        </c:dLbls>
        <c:gapWidth val="150"/>
        <c:axId val="833077855"/>
        <c:axId val="833079295"/>
      </c:barChart>
      <c:catAx>
        <c:axId val="83307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79295"/>
        <c:crosses val="autoZero"/>
        <c:auto val="1"/>
        <c:lblAlgn val="ctr"/>
        <c:lblOffset val="100"/>
        <c:noMultiLvlLbl val="0"/>
      </c:catAx>
      <c:valAx>
        <c:axId val="8330792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77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69850</xdr:colOff>
      <xdr:row>2</xdr:row>
      <xdr:rowOff>6350</xdr:rowOff>
    </xdr:from>
    <xdr:to>
      <xdr:col>9</xdr:col>
      <xdr:colOff>190500</xdr:colOff>
      <xdr:row>10</xdr:row>
      <xdr:rowOff>6350</xdr:rowOff>
    </xdr:to>
    <xdr:graphicFrame macro="">
      <xdr:nvGraphicFramePr>
        <xdr:cNvPr id="3" name="Chart 2">
          <a:extLst>
            <a:ext uri="{FF2B5EF4-FFF2-40B4-BE49-F238E27FC236}">
              <a16:creationId xmlns:a16="http://schemas.microsoft.com/office/drawing/2014/main" id="{5ED701ED-2B63-4317-9264-5D6B6BEB5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101600</xdr:rowOff>
    </xdr:from>
    <xdr:to>
      <xdr:col>5</xdr:col>
      <xdr:colOff>0</xdr:colOff>
      <xdr:row>22</xdr:row>
      <xdr:rowOff>95250</xdr:rowOff>
    </xdr:to>
    <xdr:graphicFrame macro="">
      <xdr:nvGraphicFramePr>
        <xdr:cNvPr id="4" name="Chart 3">
          <a:extLst>
            <a:ext uri="{FF2B5EF4-FFF2-40B4-BE49-F238E27FC236}">
              <a16:creationId xmlns:a16="http://schemas.microsoft.com/office/drawing/2014/main" id="{81F16834-0C43-4E00-B0B5-7620D767E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406400</xdr:colOff>
      <xdr:row>11</xdr:row>
      <xdr:rowOff>139700</xdr:rowOff>
    </xdr:from>
    <xdr:to>
      <xdr:col>18</xdr:col>
      <xdr:colOff>546100</xdr:colOff>
      <xdr:row>22</xdr:row>
      <xdr:rowOff>69850</xdr:rowOff>
    </xdr:to>
    <xdr:graphicFrame macro="">
      <xdr:nvGraphicFramePr>
        <xdr:cNvPr id="5" name="Chart 4">
          <a:extLst>
            <a:ext uri="{FF2B5EF4-FFF2-40B4-BE49-F238E27FC236}">
              <a16:creationId xmlns:a16="http://schemas.microsoft.com/office/drawing/2014/main" id="{3F6BABFB-0D7D-46CD-857B-3003FB89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101600</xdr:colOff>
      <xdr:row>11</xdr:row>
      <xdr:rowOff>114300</xdr:rowOff>
    </xdr:from>
    <xdr:to>
      <xdr:col>11</xdr:col>
      <xdr:colOff>311150</xdr:colOff>
      <xdr:row>22</xdr:row>
      <xdr:rowOff>31750</xdr:rowOff>
    </xdr:to>
    <xdr:graphicFrame macro="">
      <xdr:nvGraphicFramePr>
        <xdr:cNvPr id="6" name="Chart 5">
          <a:extLst>
            <a:ext uri="{FF2B5EF4-FFF2-40B4-BE49-F238E27FC236}">
              <a16:creationId xmlns:a16="http://schemas.microsoft.com/office/drawing/2014/main" id="{EA457B8F-4D7F-4551-B1BB-7E2A7C2F5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222250</xdr:colOff>
      <xdr:row>1</xdr:row>
      <xdr:rowOff>323850</xdr:rowOff>
    </xdr:from>
    <xdr:to>
      <xdr:col>18</xdr:col>
      <xdr:colOff>476250</xdr:colOff>
      <xdr:row>11</xdr:row>
      <xdr:rowOff>0</xdr:rowOff>
    </xdr:to>
    <xdr:graphicFrame macro="">
      <xdr:nvGraphicFramePr>
        <xdr:cNvPr id="7" name="Chart 6">
          <a:extLst>
            <a:ext uri="{FF2B5EF4-FFF2-40B4-BE49-F238E27FC236}">
              <a16:creationId xmlns:a16="http://schemas.microsoft.com/office/drawing/2014/main" id="{503AB847-D3B9-4DF5-9ED0-2CDF172FB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0</xdr:colOff>
      <xdr:row>0</xdr:row>
      <xdr:rowOff>0</xdr:rowOff>
    </xdr:from>
    <xdr:to>
      <xdr:col>18</xdr:col>
      <xdr:colOff>438150</xdr:colOff>
      <xdr:row>1</xdr:row>
      <xdr:rowOff>304799</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E9F4C775-0A96-5B97-C8ED-5C60404C3B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41700" y="0"/>
              <a:ext cx="9264650" cy="63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317500</xdr:colOff>
      <xdr:row>0</xdr:row>
      <xdr:rowOff>50800</xdr:rowOff>
    </xdr:from>
    <xdr:to>
      <xdr:col>3</xdr:col>
      <xdr:colOff>698500</xdr:colOff>
      <xdr:row>3</xdr:row>
      <xdr:rowOff>146050</xdr:rowOff>
    </xdr:to>
    <xdr:pic>
      <xdr:nvPicPr>
        <xdr:cNvPr id="2" name="dimg_USb2afPJBJaOvr0Pg9biuQU_235" descr="Profit &amp; Loss Statement Dashboard Excel ...">
          <a:extLst>
            <a:ext uri="{FF2B5EF4-FFF2-40B4-BE49-F238E27FC236}">
              <a16:creationId xmlns:a16="http://schemas.microsoft.com/office/drawing/2014/main" id="{7D4F1BB8-8735-8EA6-D695-53B8F11B8BE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17500" y="50800"/>
          <a:ext cx="2832100" cy="96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0</xdr:row>
      <xdr:rowOff>82550</xdr:rowOff>
    </xdr:from>
    <xdr:to>
      <xdr:col>10</xdr:col>
      <xdr:colOff>19050</xdr:colOff>
      <xdr:row>15</xdr:row>
      <xdr:rowOff>63500</xdr:rowOff>
    </xdr:to>
    <xdr:graphicFrame macro="">
      <xdr:nvGraphicFramePr>
        <xdr:cNvPr id="2" name="Chart 1">
          <a:extLst>
            <a:ext uri="{FF2B5EF4-FFF2-40B4-BE49-F238E27FC236}">
              <a16:creationId xmlns:a16="http://schemas.microsoft.com/office/drawing/2014/main" id="{BFA63FF0-9C0F-FAE4-8F79-EA6C9C168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501650</xdr:colOff>
      <xdr:row>1</xdr:row>
      <xdr:rowOff>120650</xdr:rowOff>
    </xdr:from>
    <xdr:to>
      <xdr:col>10</xdr:col>
      <xdr:colOff>196850</xdr:colOff>
      <xdr:row>16</xdr:row>
      <xdr:rowOff>101600</xdr:rowOff>
    </xdr:to>
    <xdr:graphicFrame macro="">
      <xdr:nvGraphicFramePr>
        <xdr:cNvPr id="2" name="Chart 1">
          <a:extLst>
            <a:ext uri="{FF2B5EF4-FFF2-40B4-BE49-F238E27FC236}">
              <a16:creationId xmlns:a16="http://schemas.microsoft.com/office/drawing/2014/main" id="{8DA31902-0C08-77E2-82D5-AD7673929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63500</xdr:colOff>
      <xdr:row>1</xdr:row>
      <xdr:rowOff>177800</xdr:rowOff>
    </xdr:from>
    <xdr:to>
      <xdr:col>10</xdr:col>
      <xdr:colOff>368300</xdr:colOff>
      <xdr:row>16</xdr:row>
      <xdr:rowOff>158750</xdr:rowOff>
    </xdr:to>
    <xdr:graphicFrame macro="">
      <xdr:nvGraphicFramePr>
        <xdr:cNvPr id="2" name="Chart 1">
          <a:extLst>
            <a:ext uri="{FF2B5EF4-FFF2-40B4-BE49-F238E27FC236}">
              <a16:creationId xmlns:a16="http://schemas.microsoft.com/office/drawing/2014/main" id="{17BCDB97-1EBF-3E42-21FA-CBE877789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425450</xdr:colOff>
      <xdr:row>1</xdr:row>
      <xdr:rowOff>12700</xdr:rowOff>
    </xdr:from>
    <xdr:to>
      <xdr:col>10</xdr:col>
      <xdr:colOff>558800</xdr:colOff>
      <xdr:row>15</xdr:row>
      <xdr:rowOff>177800</xdr:rowOff>
    </xdr:to>
    <xdr:graphicFrame macro="">
      <xdr:nvGraphicFramePr>
        <xdr:cNvPr id="2" name="Chart 1">
          <a:extLst>
            <a:ext uri="{FF2B5EF4-FFF2-40B4-BE49-F238E27FC236}">
              <a16:creationId xmlns:a16="http://schemas.microsoft.com/office/drawing/2014/main" id="{A36D726E-194B-050C-4746-F451C9007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234950</xdr:colOff>
      <xdr:row>0</xdr:row>
      <xdr:rowOff>76200</xdr:rowOff>
    </xdr:from>
    <xdr:to>
      <xdr:col>13</xdr:col>
      <xdr:colOff>419100</xdr:colOff>
      <xdr:row>14</xdr:row>
      <xdr:rowOff>146050</xdr:rowOff>
    </xdr:to>
    <xdr:graphicFrame macro="">
      <xdr:nvGraphicFramePr>
        <xdr:cNvPr id="3" name="Chart 2">
          <a:extLst>
            <a:ext uri="{FF2B5EF4-FFF2-40B4-BE49-F238E27FC236}">
              <a16:creationId xmlns:a16="http://schemas.microsoft.com/office/drawing/2014/main" id="{C2F7139F-F19A-2025-0DE7-7AAF1428B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patel" refreshedDate="46145.664677314817" createdVersion="8" refreshedVersion="8" minRefreshableVersion="3" recordCount="401" xr:uid="{DFF34DA2-3E29-40CA-99E1-88885EA8AECB}">
  <cacheSource type="worksheet">
    <worksheetSource ref="A1:S1048576" sheet="Clean_Sales_Data_2"/>
  </cacheSource>
  <cacheFields count="19">
    <cacheField name="Invoice ID" numFmtId="0">
      <sharedItems containsBlank="1"/>
    </cacheField>
    <cacheField name="Invoice Date" numFmtId="0">
      <sharedItems containsNonDate="0" containsDate="1" containsString="0" containsBlank="1" minDate="2019-01-09T00:00:00" maxDate="2025-01-09T00:00:00"/>
    </cacheField>
    <cacheField name="Customer Name" numFmtId="0">
      <sharedItems containsBlank="1"/>
    </cacheField>
    <cacheField name="Customer ID" numFmtId="0">
      <sharedItems containsBlank="1"/>
    </cacheField>
    <cacheField name="Product Name" numFmtId="0">
      <sharedItems containsBlank="1" count="9">
        <s v="T-Shirt"/>
        <s v="Table"/>
        <s v="Mobile"/>
        <s v="Chair"/>
        <s v="Laptop"/>
        <s v="Jeans"/>
        <s v="Pen"/>
        <s v="Notebook"/>
        <m/>
      </sharedItems>
    </cacheField>
    <cacheField name="Product Category" numFmtId="0">
      <sharedItems containsBlank="1" count="5">
        <s v="Clothing"/>
        <s v="Furniture"/>
        <s v="Electronics"/>
        <s v="Stationery"/>
        <m/>
      </sharedItems>
    </cacheField>
    <cacheField name="Quantity" numFmtId="0">
      <sharedItems containsString="0" containsBlank="1" containsNumber="1" containsInteger="1" minValue="1" maxValue="30"/>
    </cacheField>
    <cacheField name="Unit Price" numFmtId="0">
      <sharedItems containsString="0" containsBlank="1" containsNumber="1" containsInteger="1" minValue="219" maxValue="59975"/>
    </cacheField>
    <cacheField name="Gross Amount" numFmtId="0">
      <sharedItems containsString="0" containsBlank="1" containsNumber="1" containsInteger="1" minValue="1533" maxValue="1718047"/>
    </cacheField>
    <cacheField name="Discount Amount" numFmtId="0">
      <sharedItems containsString="0" containsBlank="1" containsNumber="1" containsInteger="1" minValue="9" maxValue="300327"/>
    </cacheField>
    <cacheField name="Taxable Amount" numFmtId="0">
      <sharedItems containsString="0" containsBlank="1" containsNumber="1" containsInteger="1" minValue="1518" maxValue="1648784"/>
    </cacheField>
    <cacheField name="Net Amount" numFmtId="0">
      <sharedItems containsString="0" containsBlank="1" containsNumber="1" containsInteger="1" minValue="1518" maxValue="1648784"/>
    </cacheField>
    <cacheField name="Salesperson" numFmtId="0">
      <sharedItems containsBlank="1" count="7">
        <s v="Neha"/>
        <s v="Amit"/>
        <s v="Priya"/>
        <s v="Sneha"/>
        <s v="Kunal"/>
        <s v="Rohit"/>
        <m/>
      </sharedItems>
    </cacheField>
    <cacheField name="State" numFmtId="0">
      <sharedItems containsBlank="1" count="7">
        <s v="Tamil Nadu"/>
        <s v="Maharashtra"/>
        <s v="Delhi"/>
        <s v="Karnataka"/>
        <s v="Rajasthan"/>
        <s v="Gujarat"/>
        <m/>
      </sharedItems>
    </cacheField>
    <cacheField name="City" numFmtId="0">
      <sharedItems containsBlank="1"/>
    </cacheField>
    <cacheField name="Country" numFmtId="0">
      <sharedItems containsBlank="1"/>
    </cacheField>
    <cacheField name="Year" numFmtId="0">
      <sharedItems containsString="0" containsBlank="1" containsNumber="1" containsInteger="1" minValue="2019" maxValue="2025" count="8">
        <n v="2020"/>
        <n v="2021"/>
        <n v="2019"/>
        <n v="2024"/>
        <n v="2022"/>
        <n v="2023"/>
        <n v="2025"/>
        <m/>
      </sharedItems>
    </cacheField>
    <cacheField name="Month" numFmtId="0">
      <sharedItems containsString="0" containsBlank="1" containsNumber="1" containsInteger="1" minValue="1" maxValue="12"/>
    </cacheField>
    <cacheField name="Quarter" numFmtId="0">
      <sharedItems containsBlank="1"/>
    </cacheField>
  </cacheFields>
  <extLst>
    <ext xmlns:x14="http://schemas.microsoft.com/office/spreadsheetml/2009/9/main" uri="{725AE2AE-9491-48be-B2B4-4EB974FC3084}">
      <x14:pivotCacheDefinition pivotCacheId="1424236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s v="INV2-0001"/>
    <d v="2020-12-03T00:00:00"/>
    <s v="Customer_340"/>
    <s v="CUST0383"/>
    <x v="0"/>
    <x v="0"/>
    <n v="3"/>
    <n v="6101"/>
    <n v="18303"/>
    <n v="333"/>
    <n v="17970"/>
    <n v="17970"/>
    <x v="0"/>
    <x v="0"/>
    <s v="Coimbatore"/>
    <s v="India"/>
    <x v="0"/>
    <n v="12"/>
    <s v="Q4"/>
  </r>
  <r>
    <s v="INV2-0002"/>
    <d v="2021-06-07T00:00:00"/>
    <s v="Customer_482"/>
    <s v="CUST0385"/>
    <x v="1"/>
    <x v="1"/>
    <n v="1"/>
    <n v="37230"/>
    <n v="37230"/>
    <n v="5085"/>
    <n v="32145"/>
    <n v="32145"/>
    <x v="1"/>
    <x v="0"/>
    <s v="Coimbatore"/>
    <s v="India"/>
    <x v="1"/>
    <n v="6"/>
    <s v="Q2"/>
  </r>
  <r>
    <s v="INV2-0003"/>
    <d v="2020-04-28T00:00:00"/>
    <s v="Customer_37"/>
    <s v="CUST0321"/>
    <x v="1"/>
    <x v="1"/>
    <n v="29"/>
    <n v="6129"/>
    <n v="177741"/>
    <n v="728"/>
    <n v="177013"/>
    <n v="177013"/>
    <x v="2"/>
    <x v="1"/>
    <s v="Pune"/>
    <s v="India"/>
    <x v="0"/>
    <n v="4"/>
    <s v="Q2"/>
  </r>
  <r>
    <s v="INV2-0004"/>
    <d v="2019-12-03T00:00:00"/>
    <s v="Customer_112"/>
    <s v="CUST0274"/>
    <x v="2"/>
    <x v="2"/>
    <n v="26"/>
    <n v="53781"/>
    <n v="1398306"/>
    <n v="53416"/>
    <n v="1344890"/>
    <n v="1344890"/>
    <x v="3"/>
    <x v="2"/>
    <s v="New Delhi"/>
    <s v="India"/>
    <x v="2"/>
    <n v="12"/>
    <s v="Q4"/>
  </r>
  <r>
    <s v="INV2-0005"/>
    <d v="2024-09-24T00:00:00"/>
    <s v="Customer_199"/>
    <s v="CUST0104"/>
    <x v="3"/>
    <x v="1"/>
    <n v="24"/>
    <n v="23578"/>
    <n v="565872"/>
    <n v="47815"/>
    <n v="518057"/>
    <n v="518057"/>
    <x v="0"/>
    <x v="3"/>
    <s v="Mysore"/>
    <s v="India"/>
    <x v="3"/>
    <n v="9"/>
    <s v="Q3"/>
  </r>
  <r>
    <s v="INV2-0006"/>
    <d v="2022-08-24T00:00:00"/>
    <s v="Customer_356"/>
    <s v="CUST0435"/>
    <x v="4"/>
    <x v="2"/>
    <n v="1"/>
    <n v="17983"/>
    <n v="17983"/>
    <n v="1021"/>
    <n v="16962"/>
    <n v="16962"/>
    <x v="1"/>
    <x v="4"/>
    <s v="Udaipur"/>
    <s v="India"/>
    <x v="4"/>
    <n v="8"/>
    <s v="Q3"/>
  </r>
  <r>
    <s v="INV2-0007"/>
    <d v="2019-02-25T00:00:00"/>
    <s v="Customer_258"/>
    <s v="CUST0483"/>
    <x v="0"/>
    <x v="0"/>
    <n v="19"/>
    <n v="4843"/>
    <n v="92017"/>
    <n v="9313"/>
    <n v="82704"/>
    <n v="82704"/>
    <x v="4"/>
    <x v="3"/>
    <s v="Bangalore"/>
    <s v="India"/>
    <x v="2"/>
    <n v="2"/>
    <s v="Q1"/>
  </r>
  <r>
    <s v="INV2-0008"/>
    <d v="2021-12-14T00:00:00"/>
    <s v="Customer_163"/>
    <s v="CUST0472"/>
    <x v="0"/>
    <x v="0"/>
    <n v="18"/>
    <n v="1248"/>
    <n v="22464"/>
    <n v="1414"/>
    <n v="21050"/>
    <n v="21050"/>
    <x v="1"/>
    <x v="4"/>
    <s v="Udaipur"/>
    <s v="India"/>
    <x v="1"/>
    <n v="12"/>
    <s v="Q4"/>
  </r>
  <r>
    <s v="INV2-0009"/>
    <d v="2024-04-22T00:00:00"/>
    <s v="Customer_364"/>
    <s v="CUST0443"/>
    <x v="1"/>
    <x v="1"/>
    <n v="7"/>
    <n v="41518"/>
    <n v="290626"/>
    <n v="999"/>
    <n v="289627"/>
    <n v="289627"/>
    <x v="0"/>
    <x v="1"/>
    <s v="Mumbai"/>
    <s v="India"/>
    <x v="3"/>
    <n v="4"/>
    <s v="Q2"/>
  </r>
  <r>
    <s v="INV2-0010"/>
    <d v="2022-02-20T00:00:00"/>
    <s v="Customer_304"/>
    <s v="CUST0170"/>
    <x v="5"/>
    <x v="0"/>
    <n v="16"/>
    <n v="3781"/>
    <n v="60496"/>
    <n v="11712"/>
    <n v="48784"/>
    <n v="48784"/>
    <x v="0"/>
    <x v="0"/>
    <s v="Chennai"/>
    <s v="India"/>
    <x v="4"/>
    <n v="2"/>
    <s v="Q1"/>
  </r>
  <r>
    <s v="INV2-0011"/>
    <d v="2019-08-10T00:00:00"/>
    <s v="Customer_475"/>
    <s v="CUST0263"/>
    <x v="5"/>
    <x v="0"/>
    <n v="14"/>
    <n v="51205"/>
    <n v="716870"/>
    <n v="121014"/>
    <n v="595856"/>
    <n v="595856"/>
    <x v="5"/>
    <x v="3"/>
    <s v="Bangalore"/>
    <s v="India"/>
    <x v="2"/>
    <n v="8"/>
    <s v="Q3"/>
  </r>
  <r>
    <s v="INV2-0012"/>
    <d v="2023-08-28T00:00:00"/>
    <s v="Customer_381"/>
    <s v="CUST0319"/>
    <x v="4"/>
    <x v="2"/>
    <n v="22"/>
    <n v="13403"/>
    <n v="294866"/>
    <n v="27674"/>
    <n v="267192"/>
    <n v="267192"/>
    <x v="3"/>
    <x v="4"/>
    <s v="Jaipur"/>
    <s v="India"/>
    <x v="5"/>
    <n v="8"/>
    <s v="Q3"/>
  </r>
  <r>
    <s v="INV2-0013"/>
    <d v="2020-06-01T00:00:00"/>
    <s v="Customer_15"/>
    <s v="CUST0303"/>
    <x v="0"/>
    <x v="0"/>
    <n v="2"/>
    <n v="11196"/>
    <n v="22392"/>
    <n v="1844"/>
    <n v="20548"/>
    <n v="20548"/>
    <x v="4"/>
    <x v="0"/>
    <s v="Coimbatore"/>
    <s v="India"/>
    <x v="0"/>
    <n v="6"/>
    <s v="Q2"/>
  </r>
  <r>
    <s v="INV2-0014"/>
    <d v="2023-04-24T00:00:00"/>
    <s v="Customer_53"/>
    <s v="CUST0420"/>
    <x v="5"/>
    <x v="0"/>
    <n v="13"/>
    <n v="52318"/>
    <n v="680134"/>
    <n v="107397"/>
    <n v="572737"/>
    <n v="572737"/>
    <x v="2"/>
    <x v="4"/>
    <s v="Udaipur"/>
    <s v="India"/>
    <x v="5"/>
    <n v="4"/>
    <s v="Q2"/>
  </r>
  <r>
    <s v="INV2-0015"/>
    <d v="2023-09-18T00:00:00"/>
    <s v="Customer_301"/>
    <s v="CUST0294"/>
    <x v="5"/>
    <x v="0"/>
    <n v="29"/>
    <n v="58982"/>
    <n v="1710478"/>
    <n v="61694"/>
    <n v="1648784"/>
    <n v="1648784"/>
    <x v="3"/>
    <x v="3"/>
    <s v="Bangalore"/>
    <s v="India"/>
    <x v="5"/>
    <n v="9"/>
    <s v="Q3"/>
  </r>
  <r>
    <s v="INV2-0016"/>
    <d v="2022-11-24T00:00:00"/>
    <s v="Customer_315"/>
    <s v="CUST0496"/>
    <x v="3"/>
    <x v="1"/>
    <n v="26"/>
    <n v="5842"/>
    <n v="151892"/>
    <n v="5061"/>
    <n v="146831"/>
    <n v="146831"/>
    <x v="3"/>
    <x v="5"/>
    <s v="Ahmedabad"/>
    <s v="India"/>
    <x v="4"/>
    <n v="11"/>
    <s v="Q4"/>
  </r>
  <r>
    <s v="INV2-0017"/>
    <d v="2020-04-10T00:00:00"/>
    <s v="Customer_45"/>
    <s v="CUST0292"/>
    <x v="6"/>
    <x v="3"/>
    <n v="5"/>
    <n v="44977"/>
    <n v="224885"/>
    <n v="1988"/>
    <n v="222897"/>
    <n v="222897"/>
    <x v="4"/>
    <x v="5"/>
    <s v="Surat"/>
    <s v="India"/>
    <x v="0"/>
    <n v="4"/>
    <s v="Q2"/>
  </r>
  <r>
    <s v="INV2-0018"/>
    <d v="2024-09-08T00:00:00"/>
    <s v="Customer_161"/>
    <s v="CUST0337"/>
    <x v="1"/>
    <x v="1"/>
    <n v="10"/>
    <n v="40913"/>
    <n v="409130"/>
    <n v="81178"/>
    <n v="327952"/>
    <n v="327952"/>
    <x v="4"/>
    <x v="4"/>
    <s v="Jaipur"/>
    <s v="India"/>
    <x v="3"/>
    <n v="9"/>
    <s v="Q3"/>
  </r>
  <r>
    <s v="INV2-0019"/>
    <d v="2024-02-16T00:00:00"/>
    <s v="Customer_158"/>
    <s v="CUST0231"/>
    <x v="6"/>
    <x v="3"/>
    <n v="5"/>
    <n v="7133"/>
    <n v="35665"/>
    <n v="3557"/>
    <n v="32108"/>
    <n v="32108"/>
    <x v="5"/>
    <x v="4"/>
    <s v="Udaipur"/>
    <s v="India"/>
    <x v="3"/>
    <n v="2"/>
    <s v="Q1"/>
  </r>
  <r>
    <s v="INV2-0020"/>
    <d v="2019-02-16T00:00:00"/>
    <s v="Customer_343"/>
    <s v="CUST0046"/>
    <x v="1"/>
    <x v="1"/>
    <n v="16"/>
    <n v="32108"/>
    <n v="513728"/>
    <n v="87548"/>
    <n v="426180"/>
    <n v="426180"/>
    <x v="5"/>
    <x v="2"/>
    <s v="New Delhi"/>
    <s v="India"/>
    <x v="2"/>
    <n v="2"/>
    <s v="Q1"/>
  </r>
  <r>
    <s v="INV2-0021"/>
    <d v="2022-07-12T00:00:00"/>
    <s v="Customer_250"/>
    <s v="CUST0457"/>
    <x v="3"/>
    <x v="1"/>
    <n v="12"/>
    <n v="31157"/>
    <n v="373884"/>
    <n v="54767"/>
    <n v="319117"/>
    <n v="319117"/>
    <x v="3"/>
    <x v="2"/>
    <s v="New Delhi"/>
    <s v="India"/>
    <x v="4"/>
    <n v="7"/>
    <s v="Q3"/>
  </r>
  <r>
    <s v="INV2-0022"/>
    <d v="2020-05-25T00:00:00"/>
    <s v="Customer_431"/>
    <s v="CUST0207"/>
    <x v="7"/>
    <x v="3"/>
    <n v="5"/>
    <n v="39776"/>
    <n v="198880"/>
    <n v="6809"/>
    <n v="192071"/>
    <n v="192071"/>
    <x v="4"/>
    <x v="1"/>
    <s v="Nagpur"/>
    <s v="India"/>
    <x v="0"/>
    <n v="5"/>
    <s v="Q2"/>
  </r>
  <r>
    <s v="INV2-0023"/>
    <d v="2020-03-07T00:00:00"/>
    <s v="Customer_92"/>
    <s v="CUST0104"/>
    <x v="1"/>
    <x v="1"/>
    <n v="24"/>
    <n v="30790"/>
    <n v="738960"/>
    <n v="91"/>
    <n v="738869"/>
    <n v="738869"/>
    <x v="0"/>
    <x v="4"/>
    <s v="Jaipur"/>
    <s v="India"/>
    <x v="0"/>
    <n v="3"/>
    <s v="Q1"/>
  </r>
  <r>
    <s v="INV2-0024"/>
    <d v="2024-11-07T00:00:00"/>
    <s v="Customer_391"/>
    <s v="CUST0489"/>
    <x v="1"/>
    <x v="1"/>
    <n v="26"/>
    <n v="16831"/>
    <n v="437606"/>
    <n v="14004"/>
    <n v="423602"/>
    <n v="423602"/>
    <x v="5"/>
    <x v="4"/>
    <s v="Udaipur"/>
    <s v="India"/>
    <x v="3"/>
    <n v="11"/>
    <s v="Q4"/>
  </r>
  <r>
    <s v="INV2-0025"/>
    <d v="2022-01-23T00:00:00"/>
    <s v="Customer_86"/>
    <s v="CUST0021"/>
    <x v="3"/>
    <x v="1"/>
    <n v="11"/>
    <n v="55057"/>
    <n v="605627"/>
    <n v="56209"/>
    <n v="549418"/>
    <n v="549418"/>
    <x v="1"/>
    <x v="0"/>
    <s v="Chennai"/>
    <s v="India"/>
    <x v="4"/>
    <n v="1"/>
    <s v="Q1"/>
  </r>
  <r>
    <s v="INV2-0026"/>
    <d v="2024-03-04T00:00:00"/>
    <s v="Customer_212"/>
    <s v="CUST0268"/>
    <x v="2"/>
    <x v="2"/>
    <n v="25"/>
    <n v="8917"/>
    <n v="222925"/>
    <n v="28189"/>
    <n v="194736"/>
    <n v="194736"/>
    <x v="2"/>
    <x v="4"/>
    <s v="Udaipur"/>
    <s v="India"/>
    <x v="3"/>
    <n v="3"/>
    <s v="Q1"/>
  </r>
  <r>
    <s v="INV2-0027"/>
    <d v="2022-10-13T00:00:00"/>
    <s v="Customer_447"/>
    <s v="CUST0404"/>
    <x v="0"/>
    <x v="0"/>
    <n v="19"/>
    <n v="52705"/>
    <n v="1001395"/>
    <n v="106322"/>
    <n v="895073"/>
    <n v="895073"/>
    <x v="1"/>
    <x v="3"/>
    <s v="Mysore"/>
    <s v="India"/>
    <x v="4"/>
    <n v="10"/>
    <s v="Q4"/>
  </r>
  <r>
    <s v="INV2-0028"/>
    <d v="2021-01-28T00:00:00"/>
    <s v="Customer_188"/>
    <s v="CUST0305"/>
    <x v="5"/>
    <x v="0"/>
    <n v="18"/>
    <n v="40449"/>
    <n v="728082"/>
    <n v="52228"/>
    <n v="675854"/>
    <n v="675854"/>
    <x v="0"/>
    <x v="1"/>
    <s v="Mumbai"/>
    <s v="India"/>
    <x v="1"/>
    <n v="1"/>
    <s v="Q1"/>
  </r>
  <r>
    <s v="INV2-0029"/>
    <d v="2019-09-07T00:00:00"/>
    <s v="Customer_234"/>
    <s v="CUST0320"/>
    <x v="2"/>
    <x v="2"/>
    <n v="25"/>
    <n v="38864"/>
    <n v="971600"/>
    <n v="93262"/>
    <n v="878338"/>
    <n v="878338"/>
    <x v="4"/>
    <x v="3"/>
    <s v="Mysore"/>
    <s v="India"/>
    <x v="2"/>
    <n v="9"/>
    <s v="Q3"/>
  </r>
  <r>
    <s v="INV2-0030"/>
    <d v="2019-11-10T00:00:00"/>
    <s v="Customer_203"/>
    <s v="CUST0042"/>
    <x v="5"/>
    <x v="0"/>
    <n v="8"/>
    <n v="3662"/>
    <n v="29296"/>
    <n v="5288"/>
    <n v="24008"/>
    <n v="24008"/>
    <x v="1"/>
    <x v="1"/>
    <s v="Nagpur"/>
    <s v="India"/>
    <x v="2"/>
    <n v="11"/>
    <s v="Q4"/>
  </r>
  <r>
    <s v="INV2-0031"/>
    <d v="2022-02-02T00:00:00"/>
    <s v="Customer_136"/>
    <s v="CUST0380"/>
    <x v="2"/>
    <x v="2"/>
    <n v="23"/>
    <n v="49753"/>
    <n v="1144319"/>
    <n v="208117"/>
    <n v="936202"/>
    <n v="936202"/>
    <x v="3"/>
    <x v="5"/>
    <s v="Ahmedabad"/>
    <s v="India"/>
    <x v="4"/>
    <n v="2"/>
    <s v="Q1"/>
  </r>
  <r>
    <s v="INV2-0032"/>
    <d v="2021-11-04T00:00:00"/>
    <s v="Customer_6"/>
    <s v="CUST0065"/>
    <x v="7"/>
    <x v="3"/>
    <n v="30"/>
    <n v="21089"/>
    <n v="632670"/>
    <n v="66128"/>
    <n v="566542"/>
    <n v="566542"/>
    <x v="4"/>
    <x v="0"/>
    <s v="Chennai"/>
    <s v="India"/>
    <x v="1"/>
    <n v="11"/>
    <s v="Q4"/>
  </r>
  <r>
    <s v="INV2-0033"/>
    <d v="2021-01-04T00:00:00"/>
    <s v="Customer_378"/>
    <s v="CUST0418"/>
    <x v="5"/>
    <x v="0"/>
    <n v="17"/>
    <n v="47582"/>
    <n v="808894"/>
    <n v="26998"/>
    <n v="781896"/>
    <n v="781896"/>
    <x v="2"/>
    <x v="4"/>
    <s v="Jaipur"/>
    <s v="India"/>
    <x v="1"/>
    <n v="1"/>
    <s v="Q1"/>
  </r>
  <r>
    <s v="INV2-0034"/>
    <d v="2021-11-30T00:00:00"/>
    <s v="Customer_40"/>
    <s v="CUST0146"/>
    <x v="3"/>
    <x v="1"/>
    <n v="5"/>
    <n v="17593"/>
    <n v="87965"/>
    <n v="12447"/>
    <n v="75518"/>
    <n v="75518"/>
    <x v="2"/>
    <x v="5"/>
    <s v="Ahmedabad"/>
    <s v="India"/>
    <x v="1"/>
    <n v="11"/>
    <s v="Q4"/>
  </r>
  <r>
    <s v="INV2-0035"/>
    <d v="2022-10-02T00:00:00"/>
    <s v="Customer_3"/>
    <s v="CUST0124"/>
    <x v="0"/>
    <x v="0"/>
    <n v="1"/>
    <n v="5179"/>
    <n v="5179"/>
    <n v="387"/>
    <n v="4792"/>
    <n v="4792"/>
    <x v="1"/>
    <x v="2"/>
    <s v="New Delhi"/>
    <s v="India"/>
    <x v="4"/>
    <n v="10"/>
    <s v="Q4"/>
  </r>
  <r>
    <s v="INV2-0036"/>
    <d v="2020-01-19T00:00:00"/>
    <s v="Customer_255"/>
    <s v="CUST0484"/>
    <x v="7"/>
    <x v="3"/>
    <n v="4"/>
    <n v="4204"/>
    <n v="16816"/>
    <n v="269"/>
    <n v="16547"/>
    <n v="16547"/>
    <x v="5"/>
    <x v="4"/>
    <s v="Jaipur"/>
    <s v="India"/>
    <x v="0"/>
    <n v="1"/>
    <s v="Q1"/>
  </r>
  <r>
    <s v="INV2-0037"/>
    <d v="2021-05-25T00:00:00"/>
    <s v="Customer_178"/>
    <s v="CUST0381"/>
    <x v="0"/>
    <x v="0"/>
    <n v="12"/>
    <n v="21133"/>
    <n v="253596"/>
    <n v="25523"/>
    <n v="228073"/>
    <n v="228073"/>
    <x v="3"/>
    <x v="5"/>
    <s v="Surat"/>
    <s v="India"/>
    <x v="1"/>
    <n v="5"/>
    <s v="Q2"/>
  </r>
  <r>
    <s v="INV2-0038"/>
    <d v="2024-09-27T00:00:00"/>
    <s v="Customer_251"/>
    <s v="CUST0145"/>
    <x v="0"/>
    <x v="0"/>
    <n v="4"/>
    <n v="25873"/>
    <n v="103492"/>
    <n v="16053"/>
    <n v="87439"/>
    <n v="87439"/>
    <x v="0"/>
    <x v="1"/>
    <s v="Nagpur"/>
    <s v="India"/>
    <x v="3"/>
    <n v="9"/>
    <s v="Q3"/>
  </r>
  <r>
    <s v="INV2-0039"/>
    <d v="2022-05-31T00:00:00"/>
    <s v="Customer_81"/>
    <s v="CUST0363"/>
    <x v="7"/>
    <x v="3"/>
    <n v="19"/>
    <n v="38154"/>
    <n v="724926"/>
    <n v="92186"/>
    <n v="632740"/>
    <n v="632740"/>
    <x v="2"/>
    <x v="3"/>
    <s v="Bangalore"/>
    <s v="India"/>
    <x v="4"/>
    <n v="5"/>
    <s v="Q2"/>
  </r>
  <r>
    <s v="INV2-0040"/>
    <d v="2022-03-22T00:00:00"/>
    <s v="Customer_311"/>
    <s v="CUST0470"/>
    <x v="5"/>
    <x v="0"/>
    <n v="16"/>
    <n v="9523"/>
    <n v="152368"/>
    <n v="9099"/>
    <n v="143269"/>
    <n v="143269"/>
    <x v="0"/>
    <x v="4"/>
    <s v="Udaipur"/>
    <s v="India"/>
    <x v="4"/>
    <n v="3"/>
    <s v="Q1"/>
  </r>
  <r>
    <s v="INV2-0041"/>
    <d v="2022-10-27T00:00:00"/>
    <s v="Customer_214"/>
    <s v="CUST0359"/>
    <x v="2"/>
    <x v="2"/>
    <n v="20"/>
    <n v="3004"/>
    <n v="60080"/>
    <n v="3660"/>
    <n v="56420"/>
    <n v="56420"/>
    <x v="5"/>
    <x v="1"/>
    <s v="Pune"/>
    <s v="India"/>
    <x v="4"/>
    <n v="10"/>
    <s v="Q4"/>
  </r>
  <r>
    <s v="INV2-0042"/>
    <d v="2021-03-15T00:00:00"/>
    <s v="Customer_193"/>
    <s v="CUST0116"/>
    <x v="6"/>
    <x v="3"/>
    <n v="27"/>
    <n v="15257"/>
    <n v="411939"/>
    <n v="43501"/>
    <n v="368438"/>
    <n v="368438"/>
    <x v="3"/>
    <x v="1"/>
    <s v="Nagpur"/>
    <s v="India"/>
    <x v="1"/>
    <n v="3"/>
    <s v="Q1"/>
  </r>
  <r>
    <s v="INV2-0043"/>
    <d v="2022-06-20T00:00:00"/>
    <s v="Customer_206"/>
    <s v="CUST0378"/>
    <x v="0"/>
    <x v="0"/>
    <n v="6"/>
    <n v="51296"/>
    <n v="307776"/>
    <n v="29197"/>
    <n v="278579"/>
    <n v="278579"/>
    <x v="1"/>
    <x v="4"/>
    <s v="Jaipur"/>
    <s v="India"/>
    <x v="4"/>
    <n v="6"/>
    <s v="Q2"/>
  </r>
  <r>
    <s v="INV2-0044"/>
    <d v="2019-03-27T00:00:00"/>
    <s v="Customer_209"/>
    <s v="CUST0076"/>
    <x v="1"/>
    <x v="1"/>
    <n v="28"/>
    <n v="3541"/>
    <n v="99148"/>
    <n v="6370"/>
    <n v="92778"/>
    <n v="92778"/>
    <x v="4"/>
    <x v="0"/>
    <s v="Coimbatore"/>
    <s v="India"/>
    <x v="2"/>
    <n v="3"/>
    <s v="Q1"/>
  </r>
  <r>
    <s v="INV2-0045"/>
    <d v="2022-05-11T00:00:00"/>
    <s v="Customer_56"/>
    <s v="CUST0417"/>
    <x v="4"/>
    <x v="2"/>
    <n v="9"/>
    <n v="50214"/>
    <n v="451926"/>
    <n v="89556"/>
    <n v="362370"/>
    <n v="362370"/>
    <x v="1"/>
    <x v="4"/>
    <s v="Udaipur"/>
    <s v="India"/>
    <x v="4"/>
    <n v="5"/>
    <s v="Q2"/>
  </r>
  <r>
    <s v="INV2-0046"/>
    <d v="2023-09-30T00:00:00"/>
    <s v="Customer_316"/>
    <s v="CUST0497"/>
    <x v="6"/>
    <x v="3"/>
    <n v="13"/>
    <n v="41571"/>
    <n v="540423"/>
    <n v="17191"/>
    <n v="523232"/>
    <n v="523232"/>
    <x v="0"/>
    <x v="3"/>
    <s v="Bangalore"/>
    <s v="India"/>
    <x v="5"/>
    <n v="9"/>
    <s v="Q3"/>
  </r>
  <r>
    <s v="INV2-0047"/>
    <d v="2022-01-20T00:00:00"/>
    <s v="Customer_119"/>
    <s v="CUST0301"/>
    <x v="2"/>
    <x v="2"/>
    <n v="12"/>
    <n v="33765"/>
    <n v="405180"/>
    <n v="49389"/>
    <n v="355791"/>
    <n v="355791"/>
    <x v="4"/>
    <x v="2"/>
    <s v="New Delhi"/>
    <s v="India"/>
    <x v="4"/>
    <n v="1"/>
    <s v="Q1"/>
  </r>
  <r>
    <s v="INV2-0048"/>
    <d v="2021-05-08T00:00:00"/>
    <s v="Customer_365"/>
    <s v="CUST0193"/>
    <x v="5"/>
    <x v="0"/>
    <n v="2"/>
    <n v="3092"/>
    <n v="6184"/>
    <n v="157"/>
    <n v="6027"/>
    <n v="6027"/>
    <x v="5"/>
    <x v="5"/>
    <s v="Surat"/>
    <s v="India"/>
    <x v="1"/>
    <n v="5"/>
    <s v="Q2"/>
  </r>
  <r>
    <s v="INV2-0049"/>
    <d v="2024-08-02T00:00:00"/>
    <s v="Customer_72"/>
    <s v="CUST0158"/>
    <x v="6"/>
    <x v="3"/>
    <n v="12"/>
    <n v="37770"/>
    <n v="453240"/>
    <n v="38312"/>
    <n v="414928"/>
    <n v="414928"/>
    <x v="2"/>
    <x v="1"/>
    <s v="Nagpur"/>
    <s v="India"/>
    <x v="3"/>
    <n v="8"/>
    <s v="Q3"/>
  </r>
  <r>
    <s v="INV2-0050"/>
    <d v="2019-10-08T00:00:00"/>
    <s v="Customer_352"/>
    <s v="CUST0320"/>
    <x v="1"/>
    <x v="1"/>
    <n v="4"/>
    <n v="12938"/>
    <n v="51752"/>
    <n v="3304"/>
    <n v="48448"/>
    <n v="48448"/>
    <x v="4"/>
    <x v="3"/>
    <s v="Bangalore"/>
    <s v="India"/>
    <x v="2"/>
    <n v="10"/>
    <s v="Q4"/>
  </r>
  <r>
    <s v="INV2-0051"/>
    <d v="2022-04-26T00:00:00"/>
    <s v="Customer_127"/>
    <s v="CUST0238"/>
    <x v="0"/>
    <x v="0"/>
    <n v="6"/>
    <n v="56319"/>
    <n v="337914"/>
    <n v="48254"/>
    <n v="289660"/>
    <n v="289660"/>
    <x v="2"/>
    <x v="0"/>
    <s v="Chennai"/>
    <s v="India"/>
    <x v="4"/>
    <n v="4"/>
    <s v="Q2"/>
  </r>
  <r>
    <s v="INV2-0052"/>
    <d v="2022-08-18T00:00:00"/>
    <s v="Customer_423"/>
    <s v="CUST0252"/>
    <x v="0"/>
    <x v="0"/>
    <n v="18"/>
    <n v="45547"/>
    <n v="819846"/>
    <n v="108663"/>
    <n v="711183"/>
    <n v="711183"/>
    <x v="0"/>
    <x v="1"/>
    <s v="Mumbai"/>
    <s v="India"/>
    <x v="4"/>
    <n v="8"/>
    <s v="Q3"/>
  </r>
  <r>
    <s v="INV2-0053"/>
    <d v="2024-03-30T00:00:00"/>
    <s v="Customer_458"/>
    <s v="CUST0205"/>
    <x v="6"/>
    <x v="3"/>
    <n v="10"/>
    <n v="38460"/>
    <n v="384600"/>
    <n v="7028"/>
    <n v="377572"/>
    <n v="377572"/>
    <x v="5"/>
    <x v="1"/>
    <s v="Mumbai"/>
    <s v="India"/>
    <x v="3"/>
    <n v="3"/>
    <s v="Q1"/>
  </r>
  <r>
    <s v="INV2-0054"/>
    <d v="2019-12-22T00:00:00"/>
    <s v="Customer_216"/>
    <s v="CUST0348"/>
    <x v="1"/>
    <x v="1"/>
    <n v="8"/>
    <n v="7802"/>
    <n v="62416"/>
    <n v="2840"/>
    <n v="59576"/>
    <n v="59576"/>
    <x v="5"/>
    <x v="5"/>
    <s v="Ahmedabad"/>
    <s v="India"/>
    <x v="2"/>
    <n v="12"/>
    <s v="Q4"/>
  </r>
  <r>
    <s v="INV2-0055"/>
    <d v="2022-09-22T00:00:00"/>
    <s v="Customer_288"/>
    <s v="CUST0324"/>
    <x v="1"/>
    <x v="1"/>
    <n v="17"/>
    <n v="42200"/>
    <n v="717400"/>
    <n v="110523"/>
    <n v="606877"/>
    <n v="606877"/>
    <x v="2"/>
    <x v="0"/>
    <s v="Coimbatore"/>
    <s v="India"/>
    <x v="4"/>
    <n v="9"/>
    <s v="Q3"/>
  </r>
  <r>
    <s v="INV2-0056"/>
    <d v="2022-07-02T00:00:00"/>
    <s v="Customer_227"/>
    <s v="CUST0132"/>
    <x v="7"/>
    <x v="3"/>
    <n v="7"/>
    <n v="47209"/>
    <n v="330463"/>
    <n v="17892"/>
    <n v="312571"/>
    <n v="312571"/>
    <x v="4"/>
    <x v="2"/>
    <s v="New Delhi"/>
    <s v="India"/>
    <x v="4"/>
    <n v="7"/>
    <s v="Q3"/>
  </r>
  <r>
    <s v="INV2-0057"/>
    <d v="2022-11-05T00:00:00"/>
    <s v="Customer_317"/>
    <s v="CUST0177"/>
    <x v="6"/>
    <x v="3"/>
    <n v="4"/>
    <n v="50595"/>
    <n v="202380"/>
    <n v="4552"/>
    <n v="197828"/>
    <n v="197828"/>
    <x v="0"/>
    <x v="5"/>
    <s v="Surat"/>
    <s v="India"/>
    <x v="4"/>
    <n v="11"/>
    <s v="Q4"/>
  </r>
  <r>
    <s v="INV2-0058"/>
    <d v="2019-09-25T00:00:00"/>
    <s v="Customer_260"/>
    <s v="CUST0271"/>
    <x v="1"/>
    <x v="1"/>
    <n v="29"/>
    <n v="22437"/>
    <n v="650673"/>
    <n v="19911"/>
    <n v="630762"/>
    <n v="630762"/>
    <x v="4"/>
    <x v="5"/>
    <s v="Surat"/>
    <s v="India"/>
    <x v="2"/>
    <n v="9"/>
    <s v="Q3"/>
  </r>
  <r>
    <s v="INV2-0059"/>
    <d v="2020-07-26T00:00:00"/>
    <s v="Customer_192"/>
    <s v="CUST0014"/>
    <x v="5"/>
    <x v="0"/>
    <n v="23"/>
    <n v="36611"/>
    <n v="842053"/>
    <n v="18522"/>
    <n v="823531"/>
    <n v="823531"/>
    <x v="0"/>
    <x v="2"/>
    <s v="New Delhi"/>
    <s v="India"/>
    <x v="0"/>
    <n v="7"/>
    <s v="Q3"/>
  </r>
  <r>
    <s v="INV2-0060"/>
    <d v="2022-07-15T00:00:00"/>
    <s v="Customer_266"/>
    <s v="CUST0456"/>
    <x v="6"/>
    <x v="3"/>
    <n v="24"/>
    <n v="4808"/>
    <n v="115392"/>
    <n v="10059"/>
    <n v="105333"/>
    <n v="105333"/>
    <x v="4"/>
    <x v="0"/>
    <s v="Coimbatore"/>
    <s v="India"/>
    <x v="4"/>
    <n v="7"/>
    <s v="Q3"/>
  </r>
  <r>
    <s v="INV2-0061"/>
    <d v="2019-03-25T00:00:00"/>
    <s v="Customer_17"/>
    <s v="CUST0414"/>
    <x v="5"/>
    <x v="0"/>
    <n v="24"/>
    <n v="59093"/>
    <n v="1418232"/>
    <n v="181771"/>
    <n v="1236461"/>
    <n v="1236461"/>
    <x v="3"/>
    <x v="1"/>
    <s v="Pune"/>
    <s v="India"/>
    <x v="2"/>
    <n v="3"/>
    <s v="Q1"/>
  </r>
  <r>
    <s v="INV2-0062"/>
    <d v="2023-11-05T00:00:00"/>
    <s v="Customer_277"/>
    <s v="CUST0182"/>
    <x v="7"/>
    <x v="3"/>
    <n v="21"/>
    <n v="47103"/>
    <n v="989163"/>
    <n v="88497"/>
    <n v="900666"/>
    <n v="900666"/>
    <x v="5"/>
    <x v="2"/>
    <s v="New Delhi"/>
    <s v="India"/>
    <x v="5"/>
    <n v="11"/>
    <s v="Q4"/>
  </r>
  <r>
    <s v="INV2-0063"/>
    <d v="2021-03-11T00:00:00"/>
    <s v="Customer_195"/>
    <s v="CUST0116"/>
    <x v="2"/>
    <x v="2"/>
    <n v="6"/>
    <n v="15480"/>
    <n v="92880"/>
    <n v="18267"/>
    <n v="74613"/>
    <n v="74613"/>
    <x v="1"/>
    <x v="0"/>
    <s v="Chennai"/>
    <s v="India"/>
    <x v="1"/>
    <n v="3"/>
    <s v="Q1"/>
  </r>
  <r>
    <s v="INV2-0064"/>
    <d v="2020-11-12T00:00:00"/>
    <s v="Customer_57"/>
    <s v="CUST0112"/>
    <x v="5"/>
    <x v="0"/>
    <n v="5"/>
    <n v="33920"/>
    <n v="169600"/>
    <n v="28271"/>
    <n v="141329"/>
    <n v="141329"/>
    <x v="2"/>
    <x v="2"/>
    <s v="New Delhi"/>
    <s v="India"/>
    <x v="0"/>
    <n v="11"/>
    <s v="Q4"/>
  </r>
  <r>
    <s v="INV2-0065"/>
    <d v="2019-09-10T00:00:00"/>
    <s v="Customer_42"/>
    <s v="CUST0350"/>
    <x v="6"/>
    <x v="3"/>
    <n v="6"/>
    <n v="53367"/>
    <n v="320202"/>
    <n v="52278"/>
    <n v="267924"/>
    <n v="267924"/>
    <x v="2"/>
    <x v="0"/>
    <s v="Chennai"/>
    <s v="India"/>
    <x v="2"/>
    <n v="9"/>
    <s v="Q3"/>
  </r>
  <r>
    <s v="INV2-0066"/>
    <d v="2023-04-30T00:00:00"/>
    <s v="Customer_222"/>
    <s v="CUST0288"/>
    <x v="4"/>
    <x v="2"/>
    <n v="15"/>
    <n v="34669"/>
    <n v="520035"/>
    <n v="55945"/>
    <n v="464090"/>
    <n v="464090"/>
    <x v="4"/>
    <x v="3"/>
    <s v="Mysore"/>
    <s v="India"/>
    <x v="5"/>
    <n v="4"/>
    <s v="Q2"/>
  </r>
  <r>
    <s v="INV2-0067"/>
    <d v="2019-09-27T00:00:00"/>
    <s v="Customer_328"/>
    <s v="CUST0420"/>
    <x v="6"/>
    <x v="3"/>
    <n v="24"/>
    <n v="42520"/>
    <n v="1020480"/>
    <n v="85081"/>
    <n v="935399"/>
    <n v="935399"/>
    <x v="0"/>
    <x v="4"/>
    <s v="Udaipur"/>
    <s v="India"/>
    <x v="2"/>
    <n v="9"/>
    <s v="Q3"/>
  </r>
  <r>
    <s v="INV2-0068"/>
    <d v="2022-10-09T00:00:00"/>
    <s v="Customer_199"/>
    <s v="CUST0079"/>
    <x v="2"/>
    <x v="2"/>
    <n v="10"/>
    <n v="29186"/>
    <n v="291860"/>
    <n v="41011"/>
    <n v="250849"/>
    <n v="250849"/>
    <x v="1"/>
    <x v="5"/>
    <s v="Surat"/>
    <s v="India"/>
    <x v="4"/>
    <n v="10"/>
    <s v="Q4"/>
  </r>
  <r>
    <s v="INV2-0069"/>
    <d v="2024-03-14T00:00:00"/>
    <s v="Customer_459"/>
    <s v="CUST0467"/>
    <x v="0"/>
    <x v="0"/>
    <n v="2"/>
    <n v="36759"/>
    <n v="73518"/>
    <n v="7025"/>
    <n v="66493"/>
    <n v="66493"/>
    <x v="0"/>
    <x v="3"/>
    <s v="Bangalore"/>
    <s v="India"/>
    <x v="3"/>
    <n v="3"/>
    <s v="Q1"/>
  </r>
  <r>
    <s v="INV2-0070"/>
    <d v="2021-10-23T00:00:00"/>
    <s v="Customer_392"/>
    <s v="CUST0445"/>
    <x v="5"/>
    <x v="0"/>
    <n v="25"/>
    <n v="57949"/>
    <n v="1448725"/>
    <n v="43544"/>
    <n v="1405181"/>
    <n v="1405181"/>
    <x v="3"/>
    <x v="5"/>
    <s v="Surat"/>
    <s v="India"/>
    <x v="1"/>
    <n v="10"/>
    <s v="Q4"/>
  </r>
  <r>
    <s v="INV2-0071"/>
    <d v="2019-08-08T00:00:00"/>
    <s v="Customer_100"/>
    <s v="CUST0483"/>
    <x v="1"/>
    <x v="1"/>
    <n v="6"/>
    <n v="40347"/>
    <n v="242082"/>
    <n v="12422"/>
    <n v="229660"/>
    <n v="229660"/>
    <x v="2"/>
    <x v="3"/>
    <s v="Mysore"/>
    <s v="India"/>
    <x v="2"/>
    <n v="8"/>
    <s v="Q3"/>
  </r>
  <r>
    <s v="INV2-0072"/>
    <d v="2022-02-01T00:00:00"/>
    <s v="Customer_327"/>
    <s v="CUST0176"/>
    <x v="7"/>
    <x v="3"/>
    <n v="7"/>
    <n v="979"/>
    <n v="6853"/>
    <n v="111"/>
    <n v="6742"/>
    <n v="6742"/>
    <x v="3"/>
    <x v="1"/>
    <s v="Nagpur"/>
    <s v="India"/>
    <x v="4"/>
    <n v="2"/>
    <s v="Q1"/>
  </r>
  <r>
    <s v="INV2-0073"/>
    <d v="2024-07-03T00:00:00"/>
    <s v="Customer_312"/>
    <s v="CUST0102"/>
    <x v="6"/>
    <x v="3"/>
    <n v="3"/>
    <n v="23015"/>
    <n v="69045"/>
    <n v="10679"/>
    <n v="58366"/>
    <n v="58366"/>
    <x v="1"/>
    <x v="2"/>
    <s v="New Delhi"/>
    <s v="India"/>
    <x v="3"/>
    <n v="7"/>
    <s v="Q3"/>
  </r>
  <r>
    <s v="INV2-0074"/>
    <d v="2020-10-29T00:00:00"/>
    <s v="Customer_277"/>
    <s v="CUST0287"/>
    <x v="6"/>
    <x v="3"/>
    <n v="15"/>
    <n v="55606"/>
    <n v="834090"/>
    <n v="52263"/>
    <n v="781827"/>
    <n v="781827"/>
    <x v="4"/>
    <x v="3"/>
    <s v="Mysore"/>
    <s v="India"/>
    <x v="0"/>
    <n v="10"/>
    <s v="Q4"/>
  </r>
  <r>
    <s v="INV2-0075"/>
    <d v="2024-02-11T00:00:00"/>
    <s v="Customer_443"/>
    <s v="CUST0380"/>
    <x v="4"/>
    <x v="2"/>
    <n v="5"/>
    <n v="55884"/>
    <n v="279420"/>
    <n v="3488"/>
    <n v="275932"/>
    <n v="275932"/>
    <x v="0"/>
    <x v="5"/>
    <s v="Ahmedabad"/>
    <s v="India"/>
    <x v="3"/>
    <n v="2"/>
    <s v="Q1"/>
  </r>
  <r>
    <s v="INV2-0076"/>
    <d v="2023-07-21T00:00:00"/>
    <s v="Customer_295"/>
    <s v="CUST0279"/>
    <x v="6"/>
    <x v="3"/>
    <n v="10"/>
    <n v="7759"/>
    <n v="77590"/>
    <n v="11136"/>
    <n v="66454"/>
    <n v="66454"/>
    <x v="1"/>
    <x v="4"/>
    <s v="Udaipur"/>
    <s v="India"/>
    <x v="5"/>
    <n v="7"/>
    <s v="Q3"/>
  </r>
  <r>
    <s v="INV2-0077"/>
    <d v="2022-08-24T00:00:00"/>
    <s v="Customer_128"/>
    <s v="CUST0143"/>
    <x v="7"/>
    <x v="3"/>
    <n v="17"/>
    <n v="22385"/>
    <n v="380545"/>
    <n v="32215"/>
    <n v="348330"/>
    <n v="348330"/>
    <x v="4"/>
    <x v="1"/>
    <s v="Mumbai"/>
    <s v="India"/>
    <x v="4"/>
    <n v="8"/>
    <s v="Q3"/>
  </r>
  <r>
    <s v="INV2-0078"/>
    <d v="2023-12-22T00:00:00"/>
    <s v="Customer_455"/>
    <s v="CUST0224"/>
    <x v="3"/>
    <x v="1"/>
    <n v="18"/>
    <n v="20190"/>
    <n v="363420"/>
    <n v="12735"/>
    <n v="350685"/>
    <n v="350685"/>
    <x v="0"/>
    <x v="1"/>
    <s v="Pune"/>
    <s v="India"/>
    <x v="5"/>
    <n v="12"/>
    <s v="Q4"/>
  </r>
  <r>
    <s v="INV2-0079"/>
    <d v="2024-04-06T00:00:00"/>
    <s v="Customer_269"/>
    <s v="CUST0357"/>
    <x v="0"/>
    <x v="0"/>
    <n v="20"/>
    <n v="36436"/>
    <n v="728720"/>
    <n v="25444"/>
    <n v="703276"/>
    <n v="703276"/>
    <x v="0"/>
    <x v="1"/>
    <s v="Mumbai"/>
    <s v="India"/>
    <x v="3"/>
    <n v="4"/>
    <s v="Q2"/>
  </r>
  <r>
    <s v="INV2-0080"/>
    <d v="2021-05-30T00:00:00"/>
    <s v="Customer_429"/>
    <s v="CUST0442"/>
    <x v="6"/>
    <x v="3"/>
    <n v="30"/>
    <n v="4108"/>
    <n v="123240"/>
    <n v="24095"/>
    <n v="99145"/>
    <n v="99145"/>
    <x v="2"/>
    <x v="0"/>
    <s v="Chennai"/>
    <s v="India"/>
    <x v="1"/>
    <n v="5"/>
    <s v="Q2"/>
  </r>
  <r>
    <s v="INV2-0081"/>
    <d v="2019-10-12T00:00:00"/>
    <s v="Customer_217"/>
    <s v="CUST0358"/>
    <x v="4"/>
    <x v="2"/>
    <n v="25"/>
    <n v="1354"/>
    <n v="33850"/>
    <n v="6347"/>
    <n v="27503"/>
    <n v="27503"/>
    <x v="4"/>
    <x v="1"/>
    <s v="Mumbai"/>
    <s v="India"/>
    <x v="2"/>
    <n v="10"/>
    <s v="Q4"/>
  </r>
  <r>
    <s v="INV2-0082"/>
    <d v="2024-10-09T00:00:00"/>
    <s v="Customer_419"/>
    <s v="CUST0404"/>
    <x v="5"/>
    <x v="0"/>
    <n v="28"/>
    <n v="47180"/>
    <n v="1321040"/>
    <n v="248045"/>
    <n v="1072995"/>
    <n v="1072995"/>
    <x v="5"/>
    <x v="5"/>
    <s v="Surat"/>
    <s v="India"/>
    <x v="3"/>
    <n v="10"/>
    <s v="Q4"/>
  </r>
  <r>
    <s v="INV2-0083"/>
    <d v="2023-03-14T00:00:00"/>
    <s v="Customer_58"/>
    <s v="CUST0426"/>
    <x v="1"/>
    <x v="1"/>
    <n v="16"/>
    <n v="16569"/>
    <n v="265104"/>
    <n v="31009"/>
    <n v="234095"/>
    <n v="234095"/>
    <x v="4"/>
    <x v="3"/>
    <s v="Bangalore"/>
    <s v="India"/>
    <x v="5"/>
    <n v="3"/>
    <s v="Q1"/>
  </r>
  <r>
    <s v="INV2-0084"/>
    <d v="2023-02-26T00:00:00"/>
    <s v="Customer_60"/>
    <s v="CUST0001"/>
    <x v="6"/>
    <x v="3"/>
    <n v="29"/>
    <n v="13194"/>
    <n v="382626"/>
    <n v="37831"/>
    <n v="344795"/>
    <n v="344795"/>
    <x v="2"/>
    <x v="4"/>
    <s v="Udaipur"/>
    <s v="India"/>
    <x v="5"/>
    <n v="2"/>
    <s v="Q1"/>
  </r>
  <r>
    <s v="INV2-0085"/>
    <d v="2020-09-23T00:00:00"/>
    <s v="Customer_177"/>
    <s v="CUST0254"/>
    <x v="5"/>
    <x v="0"/>
    <n v="2"/>
    <n v="3550"/>
    <n v="7100"/>
    <n v="1363"/>
    <n v="5737"/>
    <n v="5737"/>
    <x v="4"/>
    <x v="0"/>
    <s v="Coimbatore"/>
    <s v="India"/>
    <x v="0"/>
    <n v="9"/>
    <s v="Q3"/>
  </r>
  <r>
    <s v="INV2-0086"/>
    <d v="2021-08-05T00:00:00"/>
    <s v="Customer_323"/>
    <s v="CUST0422"/>
    <x v="6"/>
    <x v="3"/>
    <n v="2"/>
    <n v="37718"/>
    <n v="75436"/>
    <n v="12371"/>
    <n v="63065"/>
    <n v="63065"/>
    <x v="3"/>
    <x v="4"/>
    <s v="Udaipur"/>
    <s v="India"/>
    <x v="1"/>
    <n v="8"/>
    <s v="Q3"/>
  </r>
  <r>
    <s v="INV2-0087"/>
    <d v="2021-03-01T00:00:00"/>
    <s v="Customer_177"/>
    <s v="CUST0430"/>
    <x v="7"/>
    <x v="3"/>
    <n v="20"/>
    <n v="16599"/>
    <n v="331980"/>
    <n v="8567"/>
    <n v="323413"/>
    <n v="323413"/>
    <x v="2"/>
    <x v="1"/>
    <s v="Mumbai"/>
    <s v="India"/>
    <x v="1"/>
    <n v="3"/>
    <s v="Q1"/>
  </r>
  <r>
    <s v="INV2-0088"/>
    <d v="2019-09-30T00:00:00"/>
    <s v="Customer_466"/>
    <s v="CUST0419"/>
    <x v="5"/>
    <x v="0"/>
    <n v="9"/>
    <n v="25533"/>
    <n v="229797"/>
    <n v="1903"/>
    <n v="227894"/>
    <n v="227894"/>
    <x v="1"/>
    <x v="5"/>
    <s v="Surat"/>
    <s v="India"/>
    <x v="2"/>
    <n v="9"/>
    <s v="Q3"/>
  </r>
  <r>
    <s v="INV2-0089"/>
    <d v="2023-07-23T00:00:00"/>
    <s v="Customer_467"/>
    <s v="CUST0480"/>
    <x v="7"/>
    <x v="3"/>
    <n v="4"/>
    <n v="52374"/>
    <n v="209496"/>
    <n v="14365"/>
    <n v="195131"/>
    <n v="195131"/>
    <x v="2"/>
    <x v="3"/>
    <s v="Bangalore"/>
    <s v="India"/>
    <x v="5"/>
    <n v="7"/>
    <s v="Q3"/>
  </r>
  <r>
    <s v="INV2-0090"/>
    <d v="2021-02-18T00:00:00"/>
    <s v="Customer_176"/>
    <s v="CUST0270"/>
    <x v="6"/>
    <x v="3"/>
    <n v="20"/>
    <n v="39622"/>
    <n v="792440"/>
    <n v="77045"/>
    <n v="715395"/>
    <n v="715395"/>
    <x v="3"/>
    <x v="5"/>
    <s v="Surat"/>
    <s v="India"/>
    <x v="1"/>
    <n v="2"/>
    <s v="Q1"/>
  </r>
  <r>
    <s v="INV2-0091"/>
    <d v="2023-01-13T00:00:00"/>
    <s v="Customer_127"/>
    <s v="CUST0434"/>
    <x v="6"/>
    <x v="3"/>
    <n v="20"/>
    <n v="8857"/>
    <n v="177140"/>
    <n v="32896"/>
    <n v="144244"/>
    <n v="144244"/>
    <x v="5"/>
    <x v="2"/>
    <s v="New Delhi"/>
    <s v="India"/>
    <x v="5"/>
    <n v="1"/>
    <s v="Q1"/>
  </r>
  <r>
    <s v="INV2-0092"/>
    <d v="2019-07-21T00:00:00"/>
    <s v="Customer_100"/>
    <s v="CUST0286"/>
    <x v="6"/>
    <x v="3"/>
    <n v="2"/>
    <n v="33660"/>
    <n v="67320"/>
    <n v="8665"/>
    <n v="58655"/>
    <n v="58655"/>
    <x v="4"/>
    <x v="4"/>
    <s v="Udaipur"/>
    <s v="India"/>
    <x v="2"/>
    <n v="7"/>
    <s v="Q3"/>
  </r>
  <r>
    <s v="INV2-0093"/>
    <d v="2021-06-22T00:00:00"/>
    <s v="Customer_99"/>
    <s v="CUST0022"/>
    <x v="5"/>
    <x v="0"/>
    <n v="30"/>
    <n v="34433"/>
    <n v="1032990"/>
    <n v="180076"/>
    <n v="852914"/>
    <n v="852914"/>
    <x v="0"/>
    <x v="0"/>
    <s v="Coimbatore"/>
    <s v="India"/>
    <x v="1"/>
    <n v="6"/>
    <s v="Q2"/>
  </r>
  <r>
    <s v="INV2-0094"/>
    <d v="2021-09-02T00:00:00"/>
    <s v="Customer_163"/>
    <s v="CUST0153"/>
    <x v="0"/>
    <x v="0"/>
    <n v="18"/>
    <n v="17316"/>
    <n v="311688"/>
    <n v="2893"/>
    <n v="308795"/>
    <n v="308795"/>
    <x v="4"/>
    <x v="5"/>
    <s v="Ahmedabad"/>
    <s v="India"/>
    <x v="1"/>
    <n v="9"/>
    <s v="Q3"/>
  </r>
  <r>
    <s v="INV2-0095"/>
    <d v="2021-04-23T00:00:00"/>
    <s v="Customer_16"/>
    <s v="CUST0237"/>
    <x v="5"/>
    <x v="0"/>
    <n v="20"/>
    <n v="14234"/>
    <n v="284680"/>
    <n v="56573"/>
    <n v="228107"/>
    <n v="228107"/>
    <x v="0"/>
    <x v="4"/>
    <s v="Udaipur"/>
    <s v="India"/>
    <x v="1"/>
    <n v="4"/>
    <s v="Q2"/>
  </r>
  <r>
    <s v="INV2-0096"/>
    <d v="2022-06-23T00:00:00"/>
    <s v="Customer_338"/>
    <s v="CUST0334"/>
    <x v="6"/>
    <x v="3"/>
    <n v="11"/>
    <n v="42819"/>
    <n v="471009"/>
    <n v="4824"/>
    <n v="466185"/>
    <n v="466185"/>
    <x v="5"/>
    <x v="5"/>
    <s v="Ahmedabad"/>
    <s v="India"/>
    <x v="4"/>
    <n v="6"/>
    <s v="Q2"/>
  </r>
  <r>
    <s v="INV2-0097"/>
    <d v="2020-08-14T00:00:00"/>
    <s v="Customer_203"/>
    <s v="CUST0479"/>
    <x v="0"/>
    <x v="0"/>
    <n v="17"/>
    <n v="18781"/>
    <n v="319277"/>
    <n v="20594"/>
    <n v="298683"/>
    <n v="298683"/>
    <x v="1"/>
    <x v="1"/>
    <s v="Nagpur"/>
    <s v="India"/>
    <x v="0"/>
    <n v="8"/>
    <s v="Q3"/>
  </r>
  <r>
    <s v="INV2-0098"/>
    <d v="2022-01-29T00:00:00"/>
    <s v="Customer_458"/>
    <s v="CUST0051"/>
    <x v="0"/>
    <x v="0"/>
    <n v="26"/>
    <n v="46161"/>
    <n v="1200186"/>
    <n v="211156"/>
    <n v="989030"/>
    <n v="989030"/>
    <x v="5"/>
    <x v="4"/>
    <s v="Udaipur"/>
    <s v="India"/>
    <x v="4"/>
    <n v="1"/>
    <s v="Q1"/>
  </r>
  <r>
    <s v="INV2-0099"/>
    <d v="2024-04-13T00:00:00"/>
    <s v="Customer_239"/>
    <s v="CUST0206"/>
    <x v="5"/>
    <x v="0"/>
    <n v="14"/>
    <n v="59181"/>
    <n v="828534"/>
    <n v="75073"/>
    <n v="753461"/>
    <n v="753461"/>
    <x v="0"/>
    <x v="1"/>
    <s v="Mumbai"/>
    <s v="India"/>
    <x v="3"/>
    <n v="4"/>
    <s v="Q2"/>
  </r>
  <r>
    <s v="INV2-0100"/>
    <d v="2019-06-17T00:00:00"/>
    <s v="Customer_162"/>
    <s v="CUST0408"/>
    <x v="3"/>
    <x v="1"/>
    <n v="24"/>
    <n v="50424"/>
    <n v="1210176"/>
    <n v="8933"/>
    <n v="1201243"/>
    <n v="1201243"/>
    <x v="5"/>
    <x v="0"/>
    <s v="Coimbatore"/>
    <s v="India"/>
    <x v="2"/>
    <n v="6"/>
    <s v="Q2"/>
  </r>
  <r>
    <s v="INV2-0101"/>
    <d v="2021-10-02T00:00:00"/>
    <s v="Customer_397"/>
    <s v="CUST0472"/>
    <x v="4"/>
    <x v="2"/>
    <n v="8"/>
    <n v="22379"/>
    <n v="179032"/>
    <n v="32008"/>
    <n v="147024"/>
    <n v="147024"/>
    <x v="0"/>
    <x v="0"/>
    <s v="Chennai"/>
    <s v="India"/>
    <x v="1"/>
    <n v="10"/>
    <s v="Q4"/>
  </r>
  <r>
    <s v="INV2-0102"/>
    <d v="2022-05-21T00:00:00"/>
    <s v="Customer_3"/>
    <s v="CUST0206"/>
    <x v="5"/>
    <x v="0"/>
    <n v="16"/>
    <n v="13974"/>
    <n v="223584"/>
    <n v="41811"/>
    <n v="181773"/>
    <n v="181773"/>
    <x v="0"/>
    <x v="3"/>
    <s v="Mysore"/>
    <s v="India"/>
    <x v="4"/>
    <n v="5"/>
    <s v="Q2"/>
  </r>
  <r>
    <s v="INV2-0103"/>
    <d v="2024-03-17T00:00:00"/>
    <s v="Customer_439"/>
    <s v="CUST0388"/>
    <x v="2"/>
    <x v="2"/>
    <n v="21"/>
    <n v="28565"/>
    <n v="599865"/>
    <n v="66065"/>
    <n v="533800"/>
    <n v="533800"/>
    <x v="2"/>
    <x v="3"/>
    <s v="Mysore"/>
    <s v="India"/>
    <x v="3"/>
    <n v="3"/>
    <s v="Q1"/>
  </r>
  <r>
    <s v="INV2-0104"/>
    <d v="2019-12-15T00:00:00"/>
    <s v="Customer_308"/>
    <s v="CUST0216"/>
    <x v="3"/>
    <x v="1"/>
    <n v="23"/>
    <n v="13236"/>
    <n v="304428"/>
    <n v="54292"/>
    <n v="250136"/>
    <n v="250136"/>
    <x v="4"/>
    <x v="3"/>
    <s v="Mysore"/>
    <s v="India"/>
    <x v="2"/>
    <n v="12"/>
    <s v="Q4"/>
  </r>
  <r>
    <s v="INV2-0105"/>
    <d v="2021-04-01T00:00:00"/>
    <s v="Customer_317"/>
    <s v="CUST0078"/>
    <x v="0"/>
    <x v="0"/>
    <n v="12"/>
    <n v="30694"/>
    <n v="368328"/>
    <n v="7867"/>
    <n v="360461"/>
    <n v="360461"/>
    <x v="2"/>
    <x v="5"/>
    <s v="Ahmedabad"/>
    <s v="India"/>
    <x v="1"/>
    <n v="4"/>
    <s v="Q2"/>
  </r>
  <r>
    <s v="INV2-0106"/>
    <d v="2022-10-12T00:00:00"/>
    <s v="Customer_174"/>
    <s v="CUST0168"/>
    <x v="0"/>
    <x v="0"/>
    <n v="20"/>
    <n v="11232"/>
    <n v="224640"/>
    <n v="15940"/>
    <n v="208700"/>
    <n v="208700"/>
    <x v="0"/>
    <x v="2"/>
    <s v="New Delhi"/>
    <s v="India"/>
    <x v="4"/>
    <n v="10"/>
    <s v="Q4"/>
  </r>
  <r>
    <s v="INV2-0107"/>
    <d v="2021-08-12T00:00:00"/>
    <s v="Customer_70"/>
    <s v="CUST0077"/>
    <x v="1"/>
    <x v="1"/>
    <n v="22"/>
    <n v="12006"/>
    <n v="264132"/>
    <n v="9134"/>
    <n v="254998"/>
    <n v="254998"/>
    <x v="3"/>
    <x v="1"/>
    <s v="Nagpur"/>
    <s v="India"/>
    <x v="1"/>
    <n v="8"/>
    <s v="Q3"/>
  </r>
  <r>
    <s v="INV2-0108"/>
    <d v="2020-04-10T00:00:00"/>
    <s v="Customer_153"/>
    <s v="CUST0418"/>
    <x v="4"/>
    <x v="2"/>
    <n v="13"/>
    <n v="1741"/>
    <n v="22633"/>
    <n v="2121"/>
    <n v="20512"/>
    <n v="20512"/>
    <x v="4"/>
    <x v="1"/>
    <s v="Pune"/>
    <s v="India"/>
    <x v="0"/>
    <n v="4"/>
    <s v="Q2"/>
  </r>
  <r>
    <s v="INV2-0109"/>
    <d v="2021-09-25T00:00:00"/>
    <s v="Customer_120"/>
    <s v="CUST0413"/>
    <x v="3"/>
    <x v="1"/>
    <n v="26"/>
    <n v="35197"/>
    <n v="915122"/>
    <n v="127292"/>
    <n v="787830"/>
    <n v="787830"/>
    <x v="0"/>
    <x v="0"/>
    <s v="Chennai"/>
    <s v="India"/>
    <x v="1"/>
    <n v="9"/>
    <s v="Q3"/>
  </r>
  <r>
    <s v="INV2-0110"/>
    <d v="2020-05-17T00:00:00"/>
    <s v="Customer_39"/>
    <s v="CUST0322"/>
    <x v="1"/>
    <x v="1"/>
    <n v="1"/>
    <n v="22038"/>
    <n v="22038"/>
    <n v="3426"/>
    <n v="18612"/>
    <n v="18612"/>
    <x v="5"/>
    <x v="3"/>
    <s v="Mysore"/>
    <s v="India"/>
    <x v="0"/>
    <n v="5"/>
    <s v="Q2"/>
  </r>
  <r>
    <s v="INV2-0111"/>
    <d v="2021-05-23T00:00:00"/>
    <s v="Customer_497"/>
    <s v="CUST0253"/>
    <x v="0"/>
    <x v="0"/>
    <n v="19"/>
    <n v="15106"/>
    <n v="287014"/>
    <n v="761"/>
    <n v="286253"/>
    <n v="286253"/>
    <x v="4"/>
    <x v="5"/>
    <s v="Surat"/>
    <s v="India"/>
    <x v="1"/>
    <n v="5"/>
    <s v="Q2"/>
  </r>
  <r>
    <s v="INV2-0112"/>
    <d v="2021-03-16T00:00:00"/>
    <s v="Customer_107"/>
    <s v="CUST0083"/>
    <x v="4"/>
    <x v="2"/>
    <n v="21"/>
    <n v="33583"/>
    <n v="705243"/>
    <n v="18017"/>
    <n v="687226"/>
    <n v="687226"/>
    <x v="5"/>
    <x v="4"/>
    <s v="Udaipur"/>
    <s v="India"/>
    <x v="1"/>
    <n v="3"/>
    <s v="Q1"/>
  </r>
  <r>
    <s v="INV2-0113"/>
    <d v="2020-09-29T00:00:00"/>
    <s v="Customer_258"/>
    <s v="CUST0182"/>
    <x v="1"/>
    <x v="1"/>
    <n v="27"/>
    <n v="14140"/>
    <n v="381780"/>
    <n v="26895"/>
    <n v="354885"/>
    <n v="354885"/>
    <x v="5"/>
    <x v="5"/>
    <s v="Surat"/>
    <s v="India"/>
    <x v="0"/>
    <n v="9"/>
    <s v="Q3"/>
  </r>
  <r>
    <s v="INV2-0114"/>
    <d v="2024-03-30T00:00:00"/>
    <s v="Customer_235"/>
    <s v="CUST0207"/>
    <x v="0"/>
    <x v="0"/>
    <n v="1"/>
    <n v="56690"/>
    <n v="56690"/>
    <n v="78"/>
    <n v="56612"/>
    <n v="56612"/>
    <x v="3"/>
    <x v="4"/>
    <s v="Jaipur"/>
    <s v="India"/>
    <x v="3"/>
    <n v="3"/>
    <s v="Q1"/>
  </r>
  <r>
    <s v="INV2-0115"/>
    <d v="2021-05-12T00:00:00"/>
    <s v="Customer_146"/>
    <s v="CUST0341"/>
    <x v="3"/>
    <x v="1"/>
    <n v="8"/>
    <n v="49798"/>
    <n v="398384"/>
    <n v="53339"/>
    <n v="345045"/>
    <n v="345045"/>
    <x v="3"/>
    <x v="2"/>
    <s v="New Delhi"/>
    <s v="India"/>
    <x v="1"/>
    <n v="5"/>
    <s v="Q2"/>
  </r>
  <r>
    <s v="INV2-0116"/>
    <d v="2019-02-06T00:00:00"/>
    <s v="Customer_361"/>
    <s v="CUST0231"/>
    <x v="5"/>
    <x v="0"/>
    <n v="27"/>
    <n v="39902"/>
    <n v="1077354"/>
    <n v="142419"/>
    <n v="934935"/>
    <n v="934935"/>
    <x v="1"/>
    <x v="5"/>
    <s v="Surat"/>
    <s v="India"/>
    <x v="2"/>
    <n v="2"/>
    <s v="Q1"/>
  </r>
  <r>
    <s v="INV2-0117"/>
    <d v="2024-10-09T00:00:00"/>
    <s v="Customer_144"/>
    <s v="CUST0118"/>
    <x v="1"/>
    <x v="1"/>
    <n v="14"/>
    <n v="6433"/>
    <n v="90062"/>
    <n v="580"/>
    <n v="89482"/>
    <n v="89482"/>
    <x v="0"/>
    <x v="1"/>
    <s v="Nagpur"/>
    <s v="India"/>
    <x v="3"/>
    <n v="10"/>
    <s v="Q4"/>
  </r>
  <r>
    <s v="INV2-0118"/>
    <d v="2023-12-27T00:00:00"/>
    <s v="Customer_403"/>
    <s v="CUST0270"/>
    <x v="4"/>
    <x v="2"/>
    <n v="15"/>
    <n v="51753"/>
    <n v="776295"/>
    <n v="126355"/>
    <n v="649940"/>
    <n v="649940"/>
    <x v="5"/>
    <x v="2"/>
    <s v="New Delhi"/>
    <s v="India"/>
    <x v="5"/>
    <n v="12"/>
    <s v="Q4"/>
  </r>
  <r>
    <s v="INV2-0119"/>
    <d v="2023-02-13T00:00:00"/>
    <s v="Customer_317"/>
    <s v="CUST0258"/>
    <x v="5"/>
    <x v="0"/>
    <n v="24"/>
    <n v="38092"/>
    <n v="914208"/>
    <n v="71470"/>
    <n v="842738"/>
    <n v="842738"/>
    <x v="5"/>
    <x v="4"/>
    <s v="Udaipur"/>
    <s v="India"/>
    <x v="5"/>
    <n v="2"/>
    <s v="Q1"/>
  </r>
  <r>
    <s v="INV2-0120"/>
    <d v="2019-09-05T00:00:00"/>
    <s v="Customer_303"/>
    <s v="CUST0314"/>
    <x v="2"/>
    <x v="2"/>
    <n v="22"/>
    <n v="19678"/>
    <n v="432916"/>
    <n v="65543"/>
    <n v="367373"/>
    <n v="367373"/>
    <x v="0"/>
    <x v="5"/>
    <s v="Ahmedabad"/>
    <s v="India"/>
    <x v="2"/>
    <n v="9"/>
    <s v="Q3"/>
  </r>
  <r>
    <s v="INV2-0121"/>
    <d v="2022-09-03T00:00:00"/>
    <s v="Customer_158"/>
    <s v="CUST0293"/>
    <x v="2"/>
    <x v="2"/>
    <n v="4"/>
    <n v="42965"/>
    <n v="171860"/>
    <n v="10754"/>
    <n v="161106"/>
    <n v="161106"/>
    <x v="4"/>
    <x v="3"/>
    <s v="Bangalore"/>
    <s v="India"/>
    <x v="4"/>
    <n v="9"/>
    <s v="Q3"/>
  </r>
  <r>
    <s v="INV2-0122"/>
    <d v="2020-07-04T00:00:00"/>
    <s v="Customer_62"/>
    <s v="CUST0310"/>
    <x v="6"/>
    <x v="3"/>
    <n v="15"/>
    <n v="1614"/>
    <n v="24210"/>
    <n v="2904"/>
    <n v="21306"/>
    <n v="21306"/>
    <x v="0"/>
    <x v="5"/>
    <s v="Ahmedabad"/>
    <s v="India"/>
    <x v="0"/>
    <n v="7"/>
    <s v="Q3"/>
  </r>
  <r>
    <s v="INV2-0123"/>
    <d v="2020-01-18T00:00:00"/>
    <s v="Customer_323"/>
    <s v="CUST0499"/>
    <x v="6"/>
    <x v="3"/>
    <n v="25"/>
    <n v="25611"/>
    <n v="640275"/>
    <n v="77213"/>
    <n v="563062"/>
    <n v="563062"/>
    <x v="5"/>
    <x v="1"/>
    <s v="Pune"/>
    <s v="India"/>
    <x v="0"/>
    <n v="1"/>
    <s v="Q1"/>
  </r>
  <r>
    <s v="INV2-0124"/>
    <d v="2022-12-21T00:00:00"/>
    <s v="Customer_362"/>
    <s v="CUST0203"/>
    <x v="6"/>
    <x v="3"/>
    <n v="23"/>
    <n v="17179"/>
    <n v="395117"/>
    <n v="12233"/>
    <n v="382884"/>
    <n v="382884"/>
    <x v="1"/>
    <x v="4"/>
    <s v="Udaipur"/>
    <s v="India"/>
    <x v="4"/>
    <n v="12"/>
    <s v="Q4"/>
  </r>
  <r>
    <s v="INV2-0125"/>
    <d v="2021-05-03T00:00:00"/>
    <s v="Customer_283"/>
    <s v="CUST0115"/>
    <x v="4"/>
    <x v="2"/>
    <n v="19"/>
    <n v="58087"/>
    <n v="1103653"/>
    <n v="178316"/>
    <n v="925337"/>
    <n v="925337"/>
    <x v="4"/>
    <x v="1"/>
    <s v="Nagpur"/>
    <s v="India"/>
    <x v="1"/>
    <n v="5"/>
    <s v="Q2"/>
  </r>
  <r>
    <s v="INV2-0126"/>
    <d v="2024-10-20T00:00:00"/>
    <s v="Customer_216"/>
    <s v="CUST0466"/>
    <x v="0"/>
    <x v="0"/>
    <n v="27"/>
    <n v="10181"/>
    <n v="274887"/>
    <n v="659"/>
    <n v="274228"/>
    <n v="274228"/>
    <x v="1"/>
    <x v="2"/>
    <s v="New Delhi"/>
    <s v="India"/>
    <x v="3"/>
    <n v="10"/>
    <s v="Q4"/>
  </r>
  <r>
    <s v="INV2-0127"/>
    <d v="2023-03-28T00:00:00"/>
    <s v="Customer_100"/>
    <s v="CUST0088"/>
    <x v="7"/>
    <x v="3"/>
    <n v="6"/>
    <n v="7518"/>
    <n v="45108"/>
    <n v="4438"/>
    <n v="40670"/>
    <n v="40670"/>
    <x v="5"/>
    <x v="1"/>
    <s v="Nagpur"/>
    <s v="India"/>
    <x v="5"/>
    <n v="3"/>
    <s v="Q1"/>
  </r>
  <r>
    <s v="INV2-0128"/>
    <d v="2021-03-28T00:00:00"/>
    <s v="Customer_168"/>
    <s v="CUST0240"/>
    <x v="2"/>
    <x v="2"/>
    <n v="5"/>
    <n v="34888"/>
    <n v="174440"/>
    <n v="33370"/>
    <n v="141070"/>
    <n v="141070"/>
    <x v="4"/>
    <x v="1"/>
    <s v="Nagpur"/>
    <s v="India"/>
    <x v="1"/>
    <n v="3"/>
    <s v="Q1"/>
  </r>
  <r>
    <s v="INV2-0129"/>
    <d v="2022-09-24T00:00:00"/>
    <s v="Customer_243"/>
    <s v="CUST0179"/>
    <x v="6"/>
    <x v="3"/>
    <n v="12"/>
    <n v="7826"/>
    <n v="93912"/>
    <n v="17848"/>
    <n v="76064"/>
    <n v="76064"/>
    <x v="5"/>
    <x v="0"/>
    <s v="Coimbatore"/>
    <s v="India"/>
    <x v="4"/>
    <n v="9"/>
    <s v="Q3"/>
  </r>
  <r>
    <s v="INV2-0130"/>
    <d v="2024-01-01T00:00:00"/>
    <s v="Customer_236"/>
    <s v="CUST0432"/>
    <x v="5"/>
    <x v="0"/>
    <n v="3"/>
    <n v="39885"/>
    <n v="119655"/>
    <n v="10767"/>
    <n v="108888"/>
    <n v="108888"/>
    <x v="5"/>
    <x v="4"/>
    <s v="Udaipur"/>
    <s v="India"/>
    <x v="3"/>
    <n v="1"/>
    <s v="Q1"/>
  </r>
  <r>
    <s v="INV2-0131"/>
    <d v="2020-01-30T00:00:00"/>
    <s v="Customer_276"/>
    <s v="CUST0005"/>
    <x v="3"/>
    <x v="1"/>
    <n v="8"/>
    <n v="30706"/>
    <n v="245648"/>
    <n v="12043"/>
    <n v="233605"/>
    <n v="233605"/>
    <x v="4"/>
    <x v="2"/>
    <s v="New Delhi"/>
    <s v="India"/>
    <x v="0"/>
    <n v="1"/>
    <s v="Q1"/>
  </r>
  <r>
    <s v="INV2-0132"/>
    <d v="2020-02-14T00:00:00"/>
    <s v="Customer_248"/>
    <s v="CUST0101"/>
    <x v="3"/>
    <x v="1"/>
    <n v="16"/>
    <n v="49032"/>
    <n v="784512"/>
    <n v="94318"/>
    <n v="690194"/>
    <n v="690194"/>
    <x v="4"/>
    <x v="1"/>
    <s v="Nagpur"/>
    <s v="India"/>
    <x v="0"/>
    <n v="2"/>
    <s v="Q1"/>
  </r>
  <r>
    <s v="INV2-0133"/>
    <d v="2021-04-20T00:00:00"/>
    <s v="Customer_182"/>
    <s v="CUST0023"/>
    <x v="5"/>
    <x v="0"/>
    <n v="13"/>
    <n v="40448"/>
    <n v="525824"/>
    <n v="100241"/>
    <n v="425583"/>
    <n v="425583"/>
    <x v="4"/>
    <x v="3"/>
    <s v="Mysore"/>
    <s v="India"/>
    <x v="1"/>
    <n v="4"/>
    <s v="Q2"/>
  </r>
  <r>
    <s v="INV2-0134"/>
    <d v="2022-06-19T00:00:00"/>
    <s v="Customer_239"/>
    <s v="CUST0285"/>
    <x v="7"/>
    <x v="3"/>
    <n v="21"/>
    <n v="30841"/>
    <n v="647661"/>
    <n v="20701"/>
    <n v="626960"/>
    <n v="626960"/>
    <x v="5"/>
    <x v="5"/>
    <s v="Surat"/>
    <s v="India"/>
    <x v="4"/>
    <n v="6"/>
    <s v="Q2"/>
  </r>
  <r>
    <s v="INV2-0135"/>
    <d v="2024-12-11T00:00:00"/>
    <s v="Customer_186"/>
    <s v="CUST0285"/>
    <x v="1"/>
    <x v="1"/>
    <n v="14"/>
    <n v="31095"/>
    <n v="435330"/>
    <n v="46040"/>
    <n v="389290"/>
    <n v="389290"/>
    <x v="2"/>
    <x v="0"/>
    <s v="Chennai"/>
    <s v="India"/>
    <x v="3"/>
    <n v="12"/>
    <s v="Q4"/>
  </r>
  <r>
    <s v="INV2-0136"/>
    <d v="2024-10-14T00:00:00"/>
    <s v="Customer_307"/>
    <s v="CUST0220"/>
    <x v="7"/>
    <x v="3"/>
    <n v="22"/>
    <n v="3202"/>
    <n v="70444"/>
    <n v="4851"/>
    <n v="65593"/>
    <n v="65593"/>
    <x v="0"/>
    <x v="5"/>
    <s v="Ahmedabad"/>
    <s v="India"/>
    <x v="3"/>
    <n v="10"/>
    <s v="Q4"/>
  </r>
  <r>
    <s v="INV2-0137"/>
    <d v="2024-06-21T00:00:00"/>
    <s v="Customer_296"/>
    <s v="CUST0249"/>
    <x v="4"/>
    <x v="2"/>
    <n v="20"/>
    <n v="21346"/>
    <n v="426920"/>
    <n v="9128"/>
    <n v="417792"/>
    <n v="417792"/>
    <x v="3"/>
    <x v="5"/>
    <s v="Ahmedabad"/>
    <s v="India"/>
    <x v="3"/>
    <n v="6"/>
    <s v="Q2"/>
  </r>
  <r>
    <s v="INV2-0138"/>
    <d v="2020-04-15T00:00:00"/>
    <s v="Customer_191"/>
    <s v="CUST0332"/>
    <x v="6"/>
    <x v="3"/>
    <n v="25"/>
    <n v="26918"/>
    <n v="672950"/>
    <n v="81267"/>
    <n v="591683"/>
    <n v="591683"/>
    <x v="2"/>
    <x v="3"/>
    <s v="Bangalore"/>
    <s v="India"/>
    <x v="0"/>
    <n v="4"/>
    <s v="Q2"/>
  </r>
  <r>
    <s v="INV2-0139"/>
    <d v="2022-12-17T00:00:00"/>
    <s v="Customer_326"/>
    <s v="CUST0134"/>
    <x v="5"/>
    <x v="0"/>
    <n v="29"/>
    <n v="40845"/>
    <n v="1184505"/>
    <n v="141770"/>
    <n v="1042735"/>
    <n v="1042735"/>
    <x v="0"/>
    <x v="0"/>
    <s v="Coimbatore"/>
    <s v="India"/>
    <x v="4"/>
    <n v="12"/>
    <s v="Q4"/>
  </r>
  <r>
    <s v="INV2-0140"/>
    <d v="2023-11-12T00:00:00"/>
    <s v="Customer_113"/>
    <s v="CUST0339"/>
    <x v="1"/>
    <x v="1"/>
    <n v="18"/>
    <n v="37504"/>
    <n v="675072"/>
    <n v="94478"/>
    <n v="580594"/>
    <n v="580594"/>
    <x v="4"/>
    <x v="3"/>
    <s v="Bangalore"/>
    <s v="India"/>
    <x v="5"/>
    <n v="11"/>
    <s v="Q4"/>
  </r>
  <r>
    <s v="INV2-0141"/>
    <d v="2023-11-21T00:00:00"/>
    <s v="Customer_387"/>
    <s v="CUST0183"/>
    <x v="3"/>
    <x v="1"/>
    <n v="20"/>
    <n v="2286"/>
    <n v="45720"/>
    <n v="7810"/>
    <n v="37910"/>
    <n v="37910"/>
    <x v="1"/>
    <x v="1"/>
    <s v="Mumbai"/>
    <s v="India"/>
    <x v="5"/>
    <n v="11"/>
    <s v="Q4"/>
  </r>
  <r>
    <s v="INV2-0142"/>
    <d v="2021-09-18T00:00:00"/>
    <s v="Customer_326"/>
    <s v="CUST0187"/>
    <x v="7"/>
    <x v="3"/>
    <n v="19"/>
    <n v="53042"/>
    <n v="1007798"/>
    <n v="58961"/>
    <n v="948837"/>
    <n v="948837"/>
    <x v="4"/>
    <x v="5"/>
    <s v="Surat"/>
    <s v="India"/>
    <x v="1"/>
    <n v="9"/>
    <s v="Q3"/>
  </r>
  <r>
    <s v="INV2-0143"/>
    <d v="2021-11-24T00:00:00"/>
    <s v="Customer_329"/>
    <s v="CUST0247"/>
    <x v="1"/>
    <x v="1"/>
    <n v="16"/>
    <n v="45972"/>
    <n v="735552"/>
    <n v="85365"/>
    <n v="650187"/>
    <n v="650187"/>
    <x v="3"/>
    <x v="0"/>
    <s v="Coimbatore"/>
    <s v="India"/>
    <x v="1"/>
    <n v="11"/>
    <s v="Q4"/>
  </r>
  <r>
    <s v="INV2-0144"/>
    <d v="2022-02-24T00:00:00"/>
    <s v="Customer_88"/>
    <s v="CUST0310"/>
    <x v="2"/>
    <x v="2"/>
    <n v="22"/>
    <n v="3037"/>
    <n v="66814"/>
    <n v="2765"/>
    <n v="64049"/>
    <n v="64049"/>
    <x v="3"/>
    <x v="1"/>
    <s v="Nagpur"/>
    <s v="India"/>
    <x v="4"/>
    <n v="2"/>
    <s v="Q1"/>
  </r>
  <r>
    <s v="INV2-0145"/>
    <d v="2022-04-14T00:00:00"/>
    <s v="Customer_323"/>
    <s v="CUST0485"/>
    <x v="1"/>
    <x v="1"/>
    <n v="20"/>
    <n v="39092"/>
    <n v="781840"/>
    <n v="8652"/>
    <n v="773188"/>
    <n v="773188"/>
    <x v="3"/>
    <x v="0"/>
    <s v="Coimbatore"/>
    <s v="India"/>
    <x v="4"/>
    <n v="4"/>
    <s v="Q2"/>
  </r>
  <r>
    <s v="INV2-0146"/>
    <d v="2020-01-09T00:00:00"/>
    <s v="Customer_238"/>
    <s v="CUST0356"/>
    <x v="7"/>
    <x v="3"/>
    <n v="6"/>
    <n v="16282"/>
    <n v="97692"/>
    <n v="2816"/>
    <n v="94876"/>
    <n v="94876"/>
    <x v="0"/>
    <x v="1"/>
    <s v="Nagpur"/>
    <s v="India"/>
    <x v="0"/>
    <n v="1"/>
    <s v="Q1"/>
  </r>
  <r>
    <s v="INV2-0147"/>
    <d v="2020-04-26T00:00:00"/>
    <s v="Customer_120"/>
    <s v="CUST0024"/>
    <x v="2"/>
    <x v="2"/>
    <n v="7"/>
    <n v="17959"/>
    <n v="125713"/>
    <n v="23296"/>
    <n v="102417"/>
    <n v="102417"/>
    <x v="5"/>
    <x v="1"/>
    <s v="Nagpur"/>
    <s v="India"/>
    <x v="0"/>
    <n v="4"/>
    <s v="Q2"/>
  </r>
  <r>
    <s v="INV2-0148"/>
    <d v="2020-11-11T00:00:00"/>
    <s v="Customer_278"/>
    <s v="CUST0359"/>
    <x v="0"/>
    <x v="0"/>
    <n v="25"/>
    <n v="21430"/>
    <n v="535750"/>
    <n v="16228"/>
    <n v="519522"/>
    <n v="519522"/>
    <x v="3"/>
    <x v="0"/>
    <s v="Coimbatore"/>
    <s v="India"/>
    <x v="0"/>
    <n v="11"/>
    <s v="Q4"/>
  </r>
  <r>
    <s v="INV2-0149"/>
    <d v="2022-09-15T00:00:00"/>
    <s v="Customer_96"/>
    <s v="CUST0013"/>
    <x v="7"/>
    <x v="3"/>
    <n v="20"/>
    <n v="23028"/>
    <n v="460560"/>
    <n v="38923"/>
    <n v="421637"/>
    <n v="421637"/>
    <x v="5"/>
    <x v="3"/>
    <s v="Bangalore"/>
    <s v="India"/>
    <x v="4"/>
    <n v="9"/>
    <s v="Q3"/>
  </r>
  <r>
    <s v="INV2-0150"/>
    <d v="2023-02-26T00:00:00"/>
    <s v="Customer_116"/>
    <s v="CUST0379"/>
    <x v="5"/>
    <x v="0"/>
    <n v="9"/>
    <n v="57136"/>
    <n v="514224"/>
    <n v="58367"/>
    <n v="455857"/>
    <n v="455857"/>
    <x v="2"/>
    <x v="4"/>
    <s v="Udaipur"/>
    <s v="India"/>
    <x v="5"/>
    <n v="2"/>
    <s v="Q1"/>
  </r>
  <r>
    <s v="INV2-0151"/>
    <d v="2021-07-22T00:00:00"/>
    <s v="Customer_30"/>
    <s v="CUST0040"/>
    <x v="0"/>
    <x v="0"/>
    <n v="24"/>
    <n v="684"/>
    <n v="16416"/>
    <n v="2234"/>
    <n v="14182"/>
    <n v="14182"/>
    <x v="5"/>
    <x v="3"/>
    <s v="Bangalore"/>
    <s v="India"/>
    <x v="1"/>
    <n v="7"/>
    <s v="Q3"/>
  </r>
  <r>
    <s v="INV2-0152"/>
    <d v="2023-11-03T00:00:00"/>
    <s v="Customer_67"/>
    <s v="CUST0297"/>
    <x v="2"/>
    <x v="2"/>
    <n v="8"/>
    <n v="38634"/>
    <n v="309072"/>
    <n v="14739"/>
    <n v="294333"/>
    <n v="294333"/>
    <x v="0"/>
    <x v="4"/>
    <s v="Udaipur"/>
    <s v="India"/>
    <x v="5"/>
    <n v="11"/>
    <s v="Q4"/>
  </r>
  <r>
    <s v="INV2-0153"/>
    <d v="2021-08-15T00:00:00"/>
    <s v="Customer_276"/>
    <s v="CUST0116"/>
    <x v="6"/>
    <x v="3"/>
    <n v="4"/>
    <n v="46361"/>
    <n v="185444"/>
    <n v="28479"/>
    <n v="156965"/>
    <n v="156965"/>
    <x v="1"/>
    <x v="0"/>
    <s v="Chennai"/>
    <s v="India"/>
    <x v="1"/>
    <n v="8"/>
    <s v="Q3"/>
  </r>
  <r>
    <s v="INV2-0154"/>
    <d v="2020-02-22T00:00:00"/>
    <s v="Customer_416"/>
    <s v="CUST0101"/>
    <x v="3"/>
    <x v="1"/>
    <n v="28"/>
    <n v="11196"/>
    <n v="313488"/>
    <n v="44894"/>
    <n v="268594"/>
    <n v="268594"/>
    <x v="3"/>
    <x v="3"/>
    <s v="Bangalore"/>
    <s v="India"/>
    <x v="0"/>
    <n v="2"/>
    <s v="Q1"/>
  </r>
  <r>
    <s v="INV2-0155"/>
    <d v="2023-02-15T00:00:00"/>
    <s v="Customer_20"/>
    <s v="CUST0408"/>
    <x v="6"/>
    <x v="3"/>
    <n v="13"/>
    <n v="14077"/>
    <n v="183001"/>
    <n v="30563"/>
    <n v="152438"/>
    <n v="152438"/>
    <x v="4"/>
    <x v="3"/>
    <s v="Bangalore"/>
    <s v="India"/>
    <x v="5"/>
    <n v="2"/>
    <s v="Q1"/>
  </r>
  <r>
    <s v="INV2-0156"/>
    <d v="2019-04-12T00:00:00"/>
    <s v="Customer_243"/>
    <s v="CUST0242"/>
    <x v="3"/>
    <x v="1"/>
    <n v="18"/>
    <n v="38499"/>
    <n v="692982"/>
    <n v="93689"/>
    <n v="599293"/>
    <n v="599293"/>
    <x v="1"/>
    <x v="1"/>
    <s v="Pune"/>
    <s v="India"/>
    <x v="2"/>
    <n v="4"/>
    <s v="Q2"/>
  </r>
  <r>
    <s v="INV2-0157"/>
    <d v="2022-10-11T00:00:00"/>
    <s v="Customer_66"/>
    <s v="CUST0228"/>
    <x v="4"/>
    <x v="2"/>
    <n v="7"/>
    <n v="3577"/>
    <n v="25039"/>
    <n v="4515"/>
    <n v="20524"/>
    <n v="20524"/>
    <x v="1"/>
    <x v="1"/>
    <s v="Nagpur"/>
    <s v="India"/>
    <x v="4"/>
    <n v="10"/>
    <s v="Q4"/>
  </r>
  <r>
    <s v="INV2-0158"/>
    <d v="2024-07-27T00:00:00"/>
    <s v="Customer_61"/>
    <s v="CUST0118"/>
    <x v="4"/>
    <x v="2"/>
    <n v="11"/>
    <n v="10919"/>
    <n v="120109"/>
    <n v="12019"/>
    <n v="108090"/>
    <n v="108090"/>
    <x v="0"/>
    <x v="4"/>
    <s v="Udaipur"/>
    <s v="India"/>
    <x v="3"/>
    <n v="7"/>
    <s v="Q3"/>
  </r>
  <r>
    <s v="INV2-0159"/>
    <d v="2020-07-22T00:00:00"/>
    <s v="Customer_105"/>
    <s v="CUST0198"/>
    <x v="7"/>
    <x v="3"/>
    <n v="19"/>
    <n v="15341"/>
    <n v="291479"/>
    <n v="26461"/>
    <n v="265018"/>
    <n v="265018"/>
    <x v="5"/>
    <x v="5"/>
    <s v="Surat"/>
    <s v="India"/>
    <x v="0"/>
    <n v="7"/>
    <s v="Q3"/>
  </r>
  <r>
    <s v="INV2-0160"/>
    <d v="2023-11-21T00:00:00"/>
    <s v="Customer_257"/>
    <s v="CUST0021"/>
    <x v="6"/>
    <x v="3"/>
    <n v="3"/>
    <n v="32651"/>
    <n v="97953"/>
    <n v="58"/>
    <n v="97895"/>
    <n v="97895"/>
    <x v="4"/>
    <x v="3"/>
    <s v="Mysore"/>
    <s v="India"/>
    <x v="5"/>
    <n v="11"/>
    <s v="Q4"/>
  </r>
  <r>
    <s v="INV2-0161"/>
    <d v="2021-06-15T00:00:00"/>
    <s v="Customer_107"/>
    <s v="CUST0065"/>
    <x v="2"/>
    <x v="2"/>
    <n v="10"/>
    <n v="47587"/>
    <n v="475870"/>
    <n v="68388"/>
    <n v="407482"/>
    <n v="407482"/>
    <x v="3"/>
    <x v="4"/>
    <s v="Udaipur"/>
    <s v="India"/>
    <x v="1"/>
    <n v="6"/>
    <s v="Q2"/>
  </r>
  <r>
    <s v="INV2-0162"/>
    <d v="2021-01-05T00:00:00"/>
    <s v="Customer_72"/>
    <s v="CUST0098"/>
    <x v="6"/>
    <x v="3"/>
    <n v="14"/>
    <n v="54701"/>
    <n v="765814"/>
    <n v="239"/>
    <n v="765575"/>
    <n v="765575"/>
    <x v="5"/>
    <x v="5"/>
    <s v="Surat"/>
    <s v="India"/>
    <x v="1"/>
    <n v="1"/>
    <s v="Q1"/>
  </r>
  <r>
    <s v="INV2-0163"/>
    <d v="2019-12-26T00:00:00"/>
    <s v="Customer_450"/>
    <s v="CUST0204"/>
    <x v="6"/>
    <x v="3"/>
    <n v="13"/>
    <n v="9319"/>
    <n v="121147"/>
    <n v="3154"/>
    <n v="117993"/>
    <n v="117993"/>
    <x v="4"/>
    <x v="2"/>
    <s v="New Delhi"/>
    <s v="India"/>
    <x v="2"/>
    <n v="12"/>
    <s v="Q4"/>
  </r>
  <r>
    <s v="INV2-0164"/>
    <d v="2024-08-18T00:00:00"/>
    <s v="Customer_337"/>
    <s v="CUST0131"/>
    <x v="7"/>
    <x v="3"/>
    <n v="18"/>
    <n v="4015"/>
    <n v="72270"/>
    <n v="159"/>
    <n v="72111"/>
    <n v="72111"/>
    <x v="3"/>
    <x v="0"/>
    <s v="Coimbatore"/>
    <s v="India"/>
    <x v="3"/>
    <n v="8"/>
    <s v="Q3"/>
  </r>
  <r>
    <s v="INV2-0165"/>
    <d v="2021-10-18T00:00:00"/>
    <s v="Customer_355"/>
    <s v="CUST0084"/>
    <x v="6"/>
    <x v="3"/>
    <n v="23"/>
    <n v="22352"/>
    <n v="514096"/>
    <n v="82099"/>
    <n v="431997"/>
    <n v="431997"/>
    <x v="3"/>
    <x v="0"/>
    <s v="Coimbatore"/>
    <s v="India"/>
    <x v="1"/>
    <n v="10"/>
    <s v="Q4"/>
  </r>
  <r>
    <s v="INV2-0166"/>
    <d v="2022-10-18T00:00:00"/>
    <s v="Customer_122"/>
    <s v="CUST0006"/>
    <x v="3"/>
    <x v="1"/>
    <n v="16"/>
    <n v="15218"/>
    <n v="243488"/>
    <n v="33547"/>
    <n v="209941"/>
    <n v="209941"/>
    <x v="3"/>
    <x v="1"/>
    <s v="Mumbai"/>
    <s v="India"/>
    <x v="4"/>
    <n v="10"/>
    <s v="Q4"/>
  </r>
  <r>
    <s v="INV2-0167"/>
    <d v="2021-12-15T00:00:00"/>
    <s v="Customer_241"/>
    <s v="CUST0018"/>
    <x v="7"/>
    <x v="3"/>
    <n v="19"/>
    <n v="8656"/>
    <n v="164464"/>
    <n v="32458"/>
    <n v="132006"/>
    <n v="132006"/>
    <x v="4"/>
    <x v="5"/>
    <s v="Surat"/>
    <s v="India"/>
    <x v="1"/>
    <n v="12"/>
    <s v="Q4"/>
  </r>
  <r>
    <s v="INV2-0168"/>
    <d v="2021-04-23T00:00:00"/>
    <s v="Customer_220"/>
    <s v="CUST0018"/>
    <x v="5"/>
    <x v="0"/>
    <n v="1"/>
    <n v="22119"/>
    <n v="22119"/>
    <n v="790"/>
    <n v="21329"/>
    <n v="21329"/>
    <x v="0"/>
    <x v="0"/>
    <s v="Chennai"/>
    <s v="India"/>
    <x v="1"/>
    <n v="4"/>
    <s v="Q2"/>
  </r>
  <r>
    <s v="INV2-0169"/>
    <d v="2020-09-13T00:00:00"/>
    <s v="Customer_205"/>
    <s v="CUST0286"/>
    <x v="5"/>
    <x v="0"/>
    <n v="15"/>
    <n v="12080"/>
    <n v="181200"/>
    <n v="13974"/>
    <n v="167226"/>
    <n v="167226"/>
    <x v="2"/>
    <x v="1"/>
    <s v="Mumbai"/>
    <s v="India"/>
    <x v="0"/>
    <n v="9"/>
    <s v="Q3"/>
  </r>
  <r>
    <s v="INV2-0170"/>
    <d v="2020-10-06T00:00:00"/>
    <s v="Customer_338"/>
    <s v="CUST0190"/>
    <x v="3"/>
    <x v="1"/>
    <n v="15"/>
    <n v="35120"/>
    <n v="526800"/>
    <n v="46711"/>
    <n v="480089"/>
    <n v="480089"/>
    <x v="1"/>
    <x v="4"/>
    <s v="Udaipur"/>
    <s v="India"/>
    <x v="0"/>
    <n v="10"/>
    <s v="Q4"/>
  </r>
  <r>
    <s v="INV2-0171"/>
    <d v="2024-09-06T00:00:00"/>
    <s v="Customer_202"/>
    <s v="CUST0468"/>
    <x v="4"/>
    <x v="2"/>
    <n v="16"/>
    <n v="54060"/>
    <n v="864960"/>
    <n v="146023"/>
    <n v="718937"/>
    <n v="718937"/>
    <x v="4"/>
    <x v="5"/>
    <s v="Ahmedabad"/>
    <s v="India"/>
    <x v="3"/>
    <n v="9"/>
    <s v="Q3"/>
  </r>
  <r>
    <s v="INV2-0172"/>
    <d v="2019-04-02T00:00:00"/>
    <s v="Customer_360"/>
    <s v="CUST0045"/>
    <x v="1"/>
    <x v="1"/>
    <n v="10"/>
    <n v="51556"/>
    <n v="515560"/>
    <n v="44100"/>
    <n v="471460"/>
    <n v="471460"/>
    <x v="3"/>
    <x v="1"/>
    <s v="Mumbai"/>
    <s v="India"/>
    <x v="2"/>
    <n v="4"/>
    <s v="Q2"/>
  </r>
  <r>
    <s v="INV2-0173"/>
    <d v="2023-04-22T00:00:00"/>
    <s v="Customer_180"/>
    <s v="CUST0349"/>
    <x v="6"/>
    <x v="3"/>
    <n v="15"/>
    <n v="8228"/>
    <n v="123420"/>
    <n v="2254"/>
    <n v="121166"/>
    <n v="121166"/>
    <x v="5"/>
    <x v="4"/>
    <s v="Jaipur"/>
    <s v="India"/>
    <x v="5"/>
    <n v="4"/>
    <s v="Q2"/>
  </r>
  <r>
    <s v="INV2-0174"/>
    <d v="2024-10-18T00:00:00"/>
    <s v="Customer_394"/>
    <s v="CUST0320"/>
    <x v="6"/>
    <x v="3"/>
    <n v="27"/>
    <n v="41137"/>
    <n v="1110699"/>
    <n v="78598"/>
    <n v="1032101"/>
    <n v="1032101"/>
    <x v="3"/>
    <x v="0"/>
    <s v="Chennai"/>
    <s v="India"/>
    <x v="3"/>
    <n v="10"/>
    <s v="Q4"/>
  </r>
  <r>
    <s v="INV2-0175"/>
    <d v="2020-10-22T00:00:00"/>
    <s v="Customer_224"/>
    <s v="CUST0236"/>
    <x v="2"/>
    <x v="2"/>
    <n v="1"/>
    <n v="51109"/>
    <n v="51109"/>
    <n v="4938"/>
    <n v="46171"/>
    <n v="46171"/>
    <x v="2"/>
    <x v="5"/>
    <s v="Ahmedabad"/>
    <s v="India"/>
    <x v="0"/>
    <n v="10"/>
    <s v="Q4"/>
  </r>
  <r>
    <s v="INV2-0176"/>
    <d v="2019-07-18T00:00:00"/>
    <s v="Customer_106"/>
    <s v="CUST0138"/>
    <x v="0"/>
    <x v="0"/>
    <n v="12"/>
    <n v="46357"/>
    <n v="556284"/>
    <n v="8439"/>
    <n v="547845"/>
    <n v="547845"/>
    <x v="3"/>
    <x v="4"/>
    <s v="Jaipur"/>
    <s v="India"/>
    <x v="2"/>
    <n v="7"/>
    <s v="Q3"/>
  </r>
  <r>
    <s v="INV2-0177"/>
    <d v="2024-03-27T00:00:00"/>
    <s v="Customer_56"/>
    <s v="CUST0002"/>
    <x v="0"/>
    <x v="0"/>
    <n v="14"/>
    <n v="43321"/>
    <n v="606494"/>
    <n v="41715"/>
    <n v="564779"/>
    <n v="564779"/>
    <x v="3"/>
    <x v="5"/>
    <s v="Surat"/>
    <s v="India"/>
    <x v="3"/>
    <n v="3"/>
    <s v="Q1"/>
  </r>
  <r>
    <s v="INV2-0178"/>
    <d v="2019-03-09T00:00:00"/>
    <s v="Customer_21"/>
    <s v="CUST0295"/>
    <x v="2"/>
    <x v="2"/>
    <n v="10"/>
    <n v="17893"/>
    <n v="178930"/>
    <n v="13238"/>
    <n v="165692"/>
    <n v="165692"/>
    <x v="0"/>
    <x v="0"/>
    <s v="Coimbatore"/>
    <s v="India"/>
    <x v="2"/>
    <n v="3"/>
    <s v="Q1"/>
  </r>
  <r>
    <s v="INV2-0179"/>
    <d v="2023-06-01T00:00:00"/>
    <s v="Customer_120"/>
    <s v="CUST0406"/>
    <x v="7"/>
    <x v="3"/>
    <n v="24"/>
    <n v="31721"/>
    <n v="761304"/>
    <n v="37376"/>
    <n v="723928"/>
    <n v="723928"/>
    <x v="3"/>
    <x v="5"/>
    <s v="Ahmedabad"/>
    <s v="India"/>
    <x v="5"/>
    <n v="6"/>
    <s v="Q2"/>
  </r>
  <r>
    <s v="INV2-0180"/>
    <d v="2020-02-20T00:00:00"/>
    <s v="Customer_222"/>
    <s v="CUST0395"/>
    <x v="7"/>
    <x v="3"/>
    <n v="1"/>
    <n v="11309"/>
    <n v="11309"/>
    <n v="369"/>
    <n v="10940"/>
    <n v="10940"/>
    <x v="1"/>
    <x v="0"/>
    <s v="Coimbatore"/>
    <s v="India"/>
    <x v="0"/>
    <n v="2"/>
    <s v="Q1"/>
  </r>
  <r>
    <s v="INV2-0181"/>
    <d v="2021-01-12T00:00:00"/>
    <s v="Customer_498"/>
    <s v="CUST0019"/>
    <x v="7"/>
    <x v="3"/>
    <n v="20"/>
    <n v="44042"/>
    <n v="880840"/>
    <n v="58541"/>
    <n v="822299"/>
    <n v="822299"/>
    <x v="4"/>
    <x v="0"/>
    <s v="Chennai"/>
    <s v="India"/>
    <x v="1"/>
    <n v="1"/>
    <s v="Q1"/>
  </r>
  <r>
    <s v="INV2-0182"/>
    <d v="2024-01-22T00:00:00"/>
    <s v="Customer_295"/>
    <s v="CUST0083"/>
    <x v="1"/>
    <x v="1"/>
    <n v="28"/>
    <n v="52023"/>
    <n v="1456644"/>
    <n v="160028"/>
    <n v="1296616"/>
    <n v="1296616"/>
    <x v="0"/>
    <x v="0"/>
    <s v="Coimbatore"/>
    <s v="India"/>
    <x v="3"/>
    <n v="1"/>
    <s v="Q1"/>
  </r>
  <r>
    <s v="INV2-0183"/>
    <d v="2019-06-27T00:00:00"/>
    <s v="Customer_381"/>
    <s v="CUST0457"/>
    <x v="6"/>
    <x v="3"/>
    <n v="20"/>
    <n v="8926"/>
    <n v="178520"/>
    <n v="24095"/>
    <n v="154425"/>
    <n v="154425"/>
    <x v="1"/>
    <x v="3"/>
    <s v="Bangalore"/>
    <s v="India"/>
    <x v="2"/>
    <n v="6"/>
    <s v="Q2"/>
  </r>
  <r>
    <s v="INV2-0184"/>
    <d v="2019-01-27T00:00:00"/>
    <s v="Customer_419"/>
    <s v="CUST0145"/>
    <x v="4"/>
    <x v="2"/>
    <n v="10"/>
    <n v="48513"/>
    <n v="485130"/>
    <n v="79907"/>
    <n v="405223"/>
    <n v="405223"/>
    <x v="2"/>
    <x v="0"/>
    <s v="Coimbatore"/>
    <s v="India"/>
    <x v="2"/>
    <n v="1"/>
    <s v="Q1"/>
  </r>
  <r>
    <s v="INV2-0185"/>
    <d v="2024-12-17T00:00:00"/>
    <s v="Customer_24"/>
    <s v="CUST0217"/>
    <x v="0"/>
    <x v="0"/>
    <n v="30"/>
    <n v="19941"/>
    <n v="598230"/>
    <n v="40143"/>
    <n v="558087"/>
    <n v="558087"/>
    <x v="2"/>
    <x v="5"/>
    <s v="Ahmedabad"/>
    <s v="India"/>
    <x v="3"/>
    <n v="12"/>
    <s v="Q4"/>
  </r>
  <r>
    <s v="INV2-0186"/>
    <d v="2021-09-20T00:00:00"/>
    <s v="Customer_170"/>
    <s v="CUST0103"/>
    <x v="5"/>
    <x v="0"/>
    <n v="7"/>
    <n v="219"/>
    <n v="1533"/>
    <n v="15"/>
    <n v="1518"/>
    <n v="1518"/>
    <x v="2"/>
    <x v="5"/>
    <s v="Surat"/>
    <s v="India"/>
    <x v="1"/>
    <n v="9"/>
    <s v="Q3"/>
  </r>
  <r>
    <s v="INV2-0187"/>
    <d v="2023-04-09T00:00:00"/>
    <s v="Customer_384"/>
    <s v="CUST0071"/>
    <x v="6"/>
    <x v="3"/>
    <n v="11"/>
    <n v="48856"/>
    <n v="537416"/>
    <n v="86690"/>
    <n v="450726"/>
    <n v="450726"/>
    <x v="3"/>
    <x v="1"/>
    <s v="Mumbai"/>
    <s v="India"/>
    <x v="5"/>
    <n v="4"/>
    <s v="Q2"/>
  </r>
  <r>
    <s v="INV2-0188"/>
    <d v="2021-07-05T00:00:00"/>
    <s v="Customer_420"/>
    <s v="CUST0334"/>
    <x v="1"/>
    <x v="1"/>
    <n v="30"/>
    <n v="19571"/>
    <n v="587130"/>
    <n v="57059"/>
    <n v="530071"/>
    <n v="530071"/>
    <x v="0"/>
    <x v="2"/>
    <s v="New Delhi"/>
    <s v="India"/>
    <x v="1"/>
    <n v="7"/>
    <s v="Q3"/>
  </r>
  <r>
    <s v="INV2-0189"/>
    <d v="2021-03-24T00:00:00"/>
    <s v="Customer_342"/>
    <s v="CUST0270"/>
    <x v="0"/>
    <x v="0"/>
    <n v="23"/>
    <n v="49430"/>
    <n v="1136890"/>
    <n v="163809"/>
    <n v="973081"/>
    <n v="973081"/>
    <x v="5"/>
    <x v="1"/>
    <s v="Mumbai"/>
    <s v="India"/>
    <x v="1"/>
    <n v="3"/>
    <s v="Q1"/>
  </r>
  <r>
    <s v="INV2-0190"/>
    <d v="2023-12-24T00:00:00"/>
    <s v="Customer_460"/>
    <s v="CUST0199"/>
    <x v="7"/>
    <x v="3"/>
    <n v="27"/>
    <n v="5729"/>
    <n v="154683"/>
    <n v="21134"/>
    <n v="133549"/>
    <n v="133549"/>
    <x v="2"/>
    <x v="4"/>
    <s v="Udaipur"/>
    <s v="India"/>
    <x v="5"/>
    <n v="12"/>
    <s v="Q4"/>
  </r>
  <r>
    <s v="INV2-0191"/>
    <d v="2020-04-30T00:00:00"/>
    <s v="Customer_176"/>
    <s v="CUST0424"/>
    <x v="6"/>
    <x v="3"/>
    <n v="20"/>
    <n v="50757"/>
    <n v="1015140"/>
    <n v="153178"/>
    <n v="861962"/>
    <n v="861962"/>
    <x v="2"/>
    <x v="4"/>
    <s v="Jaipur"/>
    <s v="India"/>
    <x v="0"/>
    <n v="4"/>
    <s v="Q2"/>
  </r>
  <r>
    <s v="INV2-0192"/>
    <d v="2019-04-19T00:00:00"/>
    <s v="Customer_418"/>
    <s v="CUST0232"/>
    <x v="5"/>
    <x v="0"/>
    <n v="19"/>
    <n v="39091"/>
    <n v="742729"/>
    <n v="119529"/>
    <n v="623200"/>
    <n v="623200"/>
    <x v="3"/>
    <x v="0"/>
    <s v="Coimbatore"/>
    <s v="India"/>
    <x v="2"/>
    <n v="4"/>
    <s v="Q2"/>
  </r>
  <r>
    <s v="INV2-0193"/>
    <d v="2021-06-02T00:00:00"/>
    <s v="Customer_270"/>
    <s v="CUST0333"/>
    <x v="3"/>
    <x v="1"/>
    <n v="11"/>
    <n v="27318"/>
    <n v="300498"/>
    <n v="46706"/>
    <n v="253792"/>
    <n v="253792"/>
    <x v="5"/>
    <x v="5"/>
    <s v="Ahmedabad"/>
    <s v="India"/>
    <x v="1"/>
    <n v="6"/>
    <s v="Q2"/>
  </r>
  <r>
    <s v="INV2-0194"/>
    <d v="2024-03-16T00:00:00"/>
    <s v="Customer_157"/>
    <s v="CUST0479"/>
    <x v="1"/>
    <x v="1"/>
    <n v="22"/>
    <n v="36021"/>
    <n v="792462"/>
    <n v="127077"/>
    <n v="665385"/>
    <n v="665385"/>
    <x v="5"/>
    <x v="3"/>
    <s v="Mysore"/>
    <s v="India"/>
    <x v="3"/>
    <n v="3"/>
    <s v="Q1"/>
  </r>
  <r>
    <s v="INV2-0195"/>
    <d v="2024-02-19T00:00:00"/>
    <s v="Customer_50"/>
    <s v="CUST0234"/>
    <x v="7"/>
    <x v="3"/>
    <n v="8"/>
    <n v="50029"/>
    <n v="400232"/>
    <n v="44782"/>
    <n v="355450"/>
    <n v="355450"/>
    <x v="3"/>
    <x v="2"/>
    <s v="New Delhi"/>
    <s v="India"/>
    <x v="3"/>
    <n v="2"/>
    <s v="Q1"/>
  </r>
  <r>
    <s v="INV2-0196"/>
    <d v="2024-03-21T00:00:00"/>
    <s v="Customer_147"/>
    <s v="CUST0221"/>
    <x v="1"/>
    <x v="1"/>
    <n v="30"/>
    <n v="30810"/>
    <n v="924300"/>
    <n v="171059"/>
    <n v="753241"/>
    <n v="753241"/>
    <x v="3"/>
    <x v="3"/>
    <s v="Mysore"/>
    <s v="India"/>
    <x v="3"/>
    <n v="3"/>
    <s v="Q1"/>
  </r>
  <r>
    <s v="INV2-0197"/>
    <d v="2021-07-13T00:00:00"/>
    <s v="Customer_201"/>
    <s v="CUST0377"/>
    <x v="3"/>
    <x v="1"/>
    <n v="6"/>
    <n v="51999"/>
    <n v="311994"/>
    <n v="43049"/>
    <n v="268945"/>
    <n v="268945"/>
    <x v="0"/>
    <x v="0"/>
    <s v="Chennai"/>
    <s v="India"/>
    <x v="1"/>
    <n v="7"/>
    <s v="Q3"/>
  </r>
  <r>
    <s v="INV2-0198"/>
    <d v="2024-11-22T00:00:00"/>
    <s v="Customer_159"/>
    <s v="CUST0035"/>
    <x v="5"/>
    <x v="0"/>
    <n v="11"/>
    <n v="10581"/>
    <n v="116391"/>
    <n v="19965"/>
    <n v="96426"/>
    <n v="96426"/>
    <x v="4"/>
    <x v="3"/>
    <s v="Bangalore"/>
    <s v="India"/>
    <x v="3"/>
    <n v="11"/>
    <s v="Q4"/>
  </r>
  <r>
    <s v="INV2-0199"/>
    <d v="2021-09-09T00:00:00"/>
    <s v="Customer_91"/>
    <s v="CUST0359"/>
    <x v="6"/>
    <x v="3"/>
    <n v="20"/>
    <n v="52016"/>
    <n v="1040320"/>
    <n v="40575"/>
    <n v="999745"/>
    <n v="999745"/>
    <x v="3"/>
    <x v="4"/>
    <s v="Jaipur"/>
    <s v="India"/>
    <x v="1"/>
    <n v="9"/>
    <s v="Q3"/>
  </r>
  <r>
    <s v="INV2-0200"/>
    <d v="2023-07-28T00:00:00"/>
    <s v="Customer_240"/>
    <s v="CUST0251"/>
    <x v="0"/>
    <x v="0"/>
    <n v="2"/>
    <n v="52351"/>
    <n v="104702"/>
    <n v="1856"/>
    <n v="102846"/>
    <n v="102846"/>
    <x v="5"/>
    <x v="2"/>
    <s v="New Delhi"/>
    <s v="India"/>
    <x v="5"/>
    <n v="7"/>
    <s v="Q3"/>
  </r>
  <r>
    <s v="INV2-0201"/>
    <d v="2024-12-13T00:00:00"/>
    <s v="Customer_12"/>
    <s v="CUST0010"/>
    <x v="3"/>
    <x v="1"/>
    <n v="25"/>
    <n v="58211"/>
    <n v="1455275"/>
    <n v="57017"/>
    <n v="1398258"/>
    <n v="1398258"/>
    <x v="4"/>
    <x v="0"/>
    <s v="Chennai"/>
    <s v="India"/>
    <x v="3"/>
    <n v="12"/>
    <s v="Q4"/>
  </r>
  <r>
    <s v="INV2-0202"/>
    <d v="2020-04-11T00:00:00"/>
    <s v="Customer_482"/>
    <s v="CUST0465"/>
    <x v="5"/>
    <x v="0"/>
    <n v="19"/>
    <n v="37817"/>
    <n v="718523"/>
    <n v="64717"/>
    <n v="653806"/>
    <n v="653806"/>
    <x v="2"/>
    <x v="4"/>
    <s v="Jaipur"/>
    <s v="India"/>
    <x v="0"/>
    <n v="4"/>
    <s v="Q2"/>
  </r>
  <r>
    <s v="INV2-0203"/>
    <d v="2023-05-18T00:00:00"/>
    <s v="Customer_435"/>
    <s v="CUST0467"/>
    <x v="1"/>
    <x v="1"/>
    <n v="10"/>
    <n v="49377"/>
    <n v="493770"/>
    <n v="41322"/>
    <n v="452448"/>
    <n v="452448"/>
    <x v="4"/>
    <x v="4"/>
    <s v="Jaipur"/>
    <s v="India"/>
    <x v="5"/>
    <n v="5"/>
    <s v="Q2"/>
  </r>
  <r>
    <s v="INV2-0204"/>
    <d v="2020-09-11T00:00:00"/>
    <s v="Customer_197"/>
    <s v="CUST0037"/>
    <x v="7"/>
    <x v="3"/>
    <n v="8"/>
    <n v="9998"/>
    <n v="79984"/>
    <n v="11490"/>
    <n v="68494"/>
    <n v="68494"/>
    <x v="5"/>
    <x v="3"/>
    <s v="Bangalore"/>
    <s v="India"/>
    <x v="0"/>
    <n v="9"/>
    <s v="Q3"/>
  </r>
  <r>
    <s v="INV2-0205"/>
    <d v="2020-04-06T00:00:00"/>
    <s v="Customer_303"/>
    <s v="CUST0178"/>
    <x v="2"/>
    <x v="2"/>
    <n v="10"/>
    <n v="39741"/>
    <n v="397410"/>
    <n v="56"/>
    <n v="397354"/>
    <n v="397354"/>
    <x v="4"/>
    <x v="1"/>
    <s v="Nagpur"/>
    <s v="India"/>
    <x v="0"/>
    <n v="4"/>
    <s v="Q2"/>
  </r>
  <r>
    <s v="INV2-0206"/>
    <d v="2022-03-08T00:00:00"/>
    <s v="Customer_450"/>
    <s v="CUST0151"/>
    <x v="4"/>
    <x v="2"/>
    <n v="21"/>
    <n v="22089"/>
    <n v="463869"/>
    <n v="40838"/>
    <n v="423031"/>
    <n v="423031"/>
    <x v="5"/>
    <x v="0"/>
    <s v="Coimbatore"/>
    <s v="India"/>
    <x v="4"/>
    <n v="3"/>
    <s v="Q1"/>
  </r>
  <r>
    <s v="INV2-0207"/>
    <d v="2020-02-15T00:00:00"/>
    <s v="Customer_334"/>
    <s v="CUST0372"/>
    <x v="6"/>
    <x v="3"/>
    <n v="28"/>
    <n v="40325"/>
    <n v="1129100"/>
    <n v="50462"/>
    <n v="1078638"/>
    <n v="1078638"/>
    <x v="5"/>
    <x v="5"/>
    <s v="Ahmedabad"/>
    <s v="India"/>
    <x v="0"/>
    <n v="2"/>
    <s v="Q1"/>
  </r>
  <r>
    <s v="INV2-0208"/>
    <d v="2021-09-05T00:00:00"/>
    <s v="Customer_215"/>
    <s v="CUST0407"/>
    <x v="0"/>
    <x v="0"/>
    <n v="30"/>
    <n v="51049"/>
    <n v="1531470"/>
    <n v="266174"/>
    <n v="1265296"/>
    <n v="1265296"/>
    <x v="1"/>
    <x v="0"/>
    <s v="Coimbatore"/>
    <s v="India"/>
    <x v="1"/>
    <n v="9"/>
    <s v="Q3"/>
  </r>
  <r>
    <s v="INV2-0209"/>
    <d v="2019-05-29T00:00:00"/>
    <s v="Customer_448"/>
    <s v="CUST0127"/>
    <x v="5"/>
    <x v="0"/>
    <n v="21"/>
    <n v="15480"/>
    <n v="325080"/>
    <n v="12920"/>
    <n v="312160"/>
    <n v="312160"/>
    <x v="4"/>
    <x v="0"/>
    <s v="Chennai"/>
    <s v="India"/>
    <x v="2"/>
    <n v="5"/>
    <s v="Q2"/>
  </r>
  <r>
    <s v="INV2-0210"/>
    <d v="2019-01-09T00:00:00"/>
    <s v="Customer_267"/>
    <s v="CUST0363"/>
    <x v="4"/>
    <x v="2"/>
    <n v="4"/>
    <n v="38299"/>
    <n v="153196"/>
    <n v="21232"/>
    <n v="131964"/>
    <n v="131964"/>
    <x v="1"/>
    <x v="2"/>
    <s v="New Delhi"/>
    <s v="India"/>
    <x v="2"/>
    <n v="1"/>
    <s v="Q1"/>
  </r>
  <r>
    <s v="INV2-0211"/>
    <d v="2020-02-27T00:00:00"/>
    <s v="Customer_374"/>
    <s v="CUST0362"/>
    <x v="3"/>
    <x v="1"/>
    <n v="18"/>
    <n v="7192"/>
    <n v="129456"/>
    <n v="9851"/>
    <n v="119605"/>
    <n v="119605"/>
    <x v="1"/>
    <x v="1"/>
    <s v="Nagpur"/>
    <s v="India"/>
    <x v="0"/>
    <n v="2"/>
    <s v="Q1"/>
  </r>
  <r>
    <s v="INV2-0212"/>
    <d v="2024-06-18T00:00:00"/>
    <s v="Customer_127"/>
    <s v="CUST0347"/>
    <x v="2"/>
    <x v="2"/>
    <n v="8"/>
    <n v="24065"/>
    <n v="192520"/>
    <n v="1049"/>
    <n v="191471"/>
    <n v="191471"/>
    <x v="1"/>
    <x v="0"/>
    <s v="Coimbatore"/>
    <s v="India"/>
    <x v="3"/>
    <n v="6"/>
    <s v="Q2"/>
  </r>
  <r>
    <s v="INV2-0213"/>
    <d v="2019-10-28T00:00:00"/>
    <s v="Customer_398"/>
    <s v="CUST0039"/>
    <x v="1"/>
    <x v="1"/>
    <n v="17"/>
    <n v="46641"/>
    <n v="792897"/>
    <n v="54739"/>
    <n v="738158"/>
    <n v="738158"/>
    <x v="1"/>
    <x v="4"/>
    <s v="Jaipur"/>
    <s v="India"/>
    <x v="2"/>
    <n v="10"/>
    <s v="Q4"/>
  </r>
  <r>
    <s v="INV2-0214"/>
    <d v="2022-01-22T00:00:00"/>
    <s v="Customer_146"/>
    <s v="CUST0330"/>
    <x v="0"/>
    <x v="0"/>
    <n v="19"/>
    <n v="59213"/>
    <n v="1125047"/>
    <n v="38784"/>
    <n v="1086263"/>
    <n v="1086263"/>
    <x v="5"/>
    <x v="3"/>
    <s v="Bangalore"/>
    <s v="India"/>
    <x v="4"/>
    <n v="1"/>
    <s v="Q1"/>
  </r>
  <r>
    <s v="INV2-0215"/>
    <d v="2020-02-29T00:00:00"/>
    <s v="Customer_7"/>
    <s v="CUST0310"/>
    <x v="0"/>
    <x v="0"/>
    <n v="15"/>
    <n v="2989"/>
    <n v="44835"/>
    <n v="7188"/>
    <n v="37647"/>
    <n v="37647"/>
    <x v="1"/>
    <x v="3"/>
    <s v="Bangalore"/>
    <s v="India"/>
    <x v="0"/>
    <n v="2"/>
    <s v="Q1"/>
  </r>
  <r>
    <s v="INV2-0216"/>
    <d v="2023-12-27T00:00:00"/>
    <s v="Customer_327"/>
    <s v="CUST0176"/>
    <x v="3"/>
    <x v="1"/>
    <n v="7"/>
    <n v="39421"/>
    <n v="275947"/>
    <n v="49156"/>
    <n v="226791"/>
    <n v="226791"/>
    <x v="4"/>
    <x v="0"/>
    <s v="Coimbatore"/>
    <s v="India"/>
    <x v="5"/>
    <n v="12"/>
    <s v="Q4"/>
  </r>
  <r>
    <s v="INV2-0217"/>
    <d v="2020-08-09T00:00:00"/>
    <s v="Customer_139"/>
    <s v="CUST0189"/>
    <x v="6"/>
    <x v="3"/>
    <n v="27"/>
    <n v="52698"/>
    <n v="1422846"/>
    <n v="145318"/>
    <n v="1277528"/>
    <n v="1277528"/>
    <x v="3"/>
    <x v="3"/>
    <s v="Bangalore"/>
    <s v="India"/>
    <x v="0"/>
    <n v="8"/>
    <s v="Q3"/>
  </r>
  <r>
    <s v="INV2-0218"/>
    <d v="2024-12-10T00:00:00"/>
    <s v="Customer_215"/>
    <s v="CUST0339"/>
    <x v="4"/>
    <x v="2"/>
    <n v="2"/>
    <n v="42295"/>
    <n v="84590"/>
    <n v="14649"/>
    <n v="69941"/>
    <n v="69941"/>
    <x v="0"/>
    <x v="4"/>
    <s v="Udaipur"/>
    <s v="India"/>
    <x v="3"/>
    <n v="12"/>
    <s v="Q4"/>
  </r>
  <r>
    <s v="INV2-0219"/>
    <d v="2021-09-26T00:00:00"/>
    <s v="Customer_233"/>
    <s v="CUST0475"/>
    <x v="7"/>
    <x v="3"/>
    <n v="27"/>
    <n v="47712"/>
    <n v="1288224"/>
    <n v="133878"/>
    <n v="1154346"/>
    <n v="1154346"/>
    <x v="3"/>
    <x v="0"/>
    <s v="Chennai"/>
    <s v="India"/>
    <x v="1"/>
    <n v="9"/>
    <s v="Q3"/>
  </r>
  <r>
    <s v="INV2-0220"/>
    <d v="2022-10-15T00:00:00"/>
    <s v="Customer_14"/>
    <s v="CUST0275"/>
    <x v="0"/>
    <x v="0"/>
    <n v="15"/>
    <n v="21350"/>
    <n v="320250"/>
    <n v="33279"/>
    <n v="286971"/>
    <n v="286971"/>
    <x v="4"/>
    <x v="1"/>
    <s v="Nagpur"/>
    <s v="India"/>
    <x v="4"/>
    <n v="10"/>
    <s v="Q4"/>
  </r>
  <r>
    <s v="INV2-0221"/>
    <d v="2020-10-16T00:00:00"/>
    <s v="Customer_285"/>
    <s v="CUST0241"/>
    <x v="4"/>
    <x v="2"/>
    <n v="24"/>
    <n v="33948"/>
    <n v="814752"/>
    <n v="72932"/>
    <n v="741820"/>
    <n v="741820"/>
    <x v="2"/>
    <x v="5"/>
    <s v="Ahmedabad"/>
    <s v="India"/>
    <x v="0"/>
    <n v="10"/>
    <s v="Q4"/>
  </r>
  <r>
    <s v="INV2-0222"/>
    <d v="2020-02-09T00:00:00"/>
    <s v="Customer_131"/>
    <s v="CUST0290"/>
    <x v="7"/>
    <x v="3"/>
    <n v="5"/>
    <n v="47992"/>
    <n v="239960"/>
    <n v="28816"/>
    <n v="211144"/>
    <n v="211144"/>
    <x v="3"/>
    <x v="5"/>
    <s v="Surat"/>
    <s v="India"/>
    <x v="0"/>
    <n v="2"/>
    <s v="Q1"/>
  </r>
  <r>
    <s v="INV2-0223"/>
    <d v="2019-03-02T00:00:00"/>
    <s v="Customer_7"/>
    <s v="CUST0163"/>
    <x v="5"/>
    <x v="0"/>
    <n v="11"/>
    <n v="35624"/>
    <n v="391864"/>
    <n v="18614"/>
    <n v="373250"/>
    <n v="373250"/>
    <x v="0"/>
    <x v="0"/>
    <s v="Chennai"/>
    <s v="India"/>
    <x v="2"/>
    <n v="3"/>
    <s v="Q1"/>
  </r>
  <r>
    <s v="INV2-0224"/>
    <d v="2022-09-17T00:00:00"/>
    <s v="Customer_55"/>
    <s v="CUST0450"/>
    <x v="5"/>
    <x v="0"/>
    <n v="30"/>
    <n v="48463"/>
    <n v="1453890"/>
    <n v="82396"/>
    <n v="1371494"/>
    <n v="1371494"/>
    <x v="4"/>
    <x v="2"/>
    <s v="New Delhi"/>
    <s v="India"/>
    <x v="4"/>
    <n v="9"/>
    <s v="Q3"/>
  </r>
  <r>
    <s v="INV2-0225"/>
    <d v="2023-06-20T00:00:00"/>
    <s v="Customer_481"/>
    <s v="CUST0386"/>
    <x v="7"/>
    <x v="3"/>
    <n v="26"/>
    <n v="39828"/>
    <n v="1035528"/>
    <n v="48466"/>
    <n v="987062"/>
    <n v="987062"/>
    <x v="1"/>
    <x v="1"/>
    <s v="Pune"/>
    <s v="India"/>
    <x v="5"/>
    <n v="6"/>
    <s v="Q2"/>
  </r>
  <r>
    <s v="INV2-0226"/>
    <d v="2019-12-13T00:00:00"/>
    <s v="Customer_161"/>
    <s v="CUST0130"/>
    <x v="0"/>
    <x v="0"/>
    <n v="6"/>
    <n v="30811"/>
    <n v="184866"/>
    <n v="17736"/>
    <n v="167130"/>
    <n v="167130"/>
    <x v="5"/>
    <x v="3"/>
    <s v="Mysore"/>
    <s v="India"/>
    <x v="2"/>
    <n v="12"/>
    <s v="Q4"/>
  </r>
  <r>
    <s v="INV2-0227"/>
    <d v="2019-10-09T00:00:00"/>
    <s v="Customer_304"/>
    <s v="CUST0391"/>
    <x v="5"/>
    <x v="0"/>
    <n v="28"/>
    <n v="25490"/>
    <n v="713720"/>
    <n v="123235"/>
    <n v="590485"/>
    <n v="590485"/>
    <x v="1"/>
    <x v="4"/>
    <s v="Jaipur"/>
    <s v="India"/>
    <x v="2"/>
    <n v="10"/>
    <s v="Q4"/>
  </r>
  <r>
    <s v="INV2-0228"/>
    <d v="2020-04-04T00:00:00"/>
    <s v="Customer_172"/>
    <s v="CUST0464"/>
    <x v="7"/>
    <x v="3"/>
    <n v="23"/>
    <n v="4880"/>
    <n v="112240"/>
    <n v="8450"/>
    <n v="103790"/>
    <n v="103790"/>
    <x v="2"/>
    <x v="0"/>
    <s v="Chennai"/>
    <s v="India"/>
    <x v="0"/>
    <n v="4"/>
    <s v="Q2"/>
  </r>
  <r>
    <s v="INV2-0229"/>
    <d v="2025-01-08T00:00:00"/>
    <s v="Customer_464"/>
    <s v="CUST0291"/>
    <x v="5"/>
    <x v="0"/>
    <n v="1"/>
    <n v="25891"/>
    <n v="25891"/>
    <n v="2812"/>
    <n v="23079"/>
    <n v="23079"/>
    <x v="0"/>
    <x v="3"/>
    <s v="Bangalore"/>
    <s v="India"/>
    <x v="6"/>
    <n v="1"/>
    <s v="Q1"/>
  </r>
  <r>
    <s v="INV2-0230"/>
    <d v="2021-10-07T00:00:00"/>
    <s v="Customer_385"/>
    <s v="CUST0311"/>
    <x v="1"/>
    <x v="1"/>
    <n v="2"/>
    <n v="49216"/>
    <n v="98432"/>
    <n v="13959"/>
    <n v="84473"/>
    <n v="84473"/>
    <x v="3"/>
    <x v="1"/>
    <s v="Pune"/>
    <s v="India"/>
    <x v="1"/>
    <n v="10"/>
    <s v="Q4"/>
  </r>
  <r>
    <s v="INV2-0231"/>
    <d v="2019-02-04T00:00:00"/>
    <s v="Customer_450"/>
    <s v="CUST0463"/>
    <x v="1"/>
    <x v="1"/>
    <n v="4"/>
    <n v="58097"/>
    <n v="232388"/>
    <n v="45407"/>
    <n v="186981"/>
    <n v="186981"/>
    <x v="3"/>
    <x v="0"/>
    <s v="Coimbatore"/>
    <s v="India"/>
    <x v="2"/>
    <n v="2"/>
    <s v="Q1"/>
  </r>
  <r>
    <s v="INV2-0232"/>
    <d v="2020-10-14T00:00:00"/>
    <s v="Customer_35"/>
    <s v="CUST0089"/>
    <x v="4"/>
    <x v="2"/>
    <n v="18"/>
    <n v="42460"/>
    <n v="764280"/>
    <n v="100906"/>
    <n v="663374"/>
    <n v="663374"/>
    <x v="2"/>
    <x v="2"/>
    <s v="New Delhi"/>
    <s v="India"/>
    <x v="0"/>
    <n v="10"/>
    <s v="Q4"/>
  </r>
  <r>
    <s v="INV2-0233"/>
    <d v="2024-10-07T00:00:00"/>
    <s v="Customer_95"/>
    <s v="CUST0306"/>
    <x v="6"/>
    <x v="3"/>
    <n v="17"/>
    <n v="40238"/>
    <n v="684046"/>
    <n v="125907"/>
    <n v="558139"/>
    <n v="558139"/>
    <x v="1"/>
    <x v="1"/>
    <s v="Pune"/>
    <s v="India"/>
    <x v="3"/>
    <n v="10"/>
    <s v="Q4"/>
  </r>
  <r>
    <s v="INV2-0234"/>
    <d v="2022-06-30T00:00:00"/>
    <s v="Customer_317"/>
    <s v="CUST0385"/>
    <x v="5"/>
    <x v="0"/>
    <n v="17"/>
    <n v="11273"/>
    <n v="191641"/>
    <n v="15626"/>
    <n v="176015"/>
    <n v="176015"/>
    <x v="2"/>
    <x v="3"/>
    <s v="Bangalore"/>
    <s v="India"/>
    <x v="4"/>
    <n v="6"/>
    <s v="Q2"/>
  </r>
  <r>
    <s v="INV2-0235"/>
    <d v="2022-11-14T00:00:00"/>
    <s v="Customer_290"/>
    <s v="CUST0206"/>
    <x v="2"/>
    <x v="2"/>
    <n v="3"/>
    <n v="9030"/>
    <n v="27090"/>
    <n v="5115"/>
    <n v="21975"/>
    <n v="21975"/>
    <x v="4"/>
    <x v="3"/>
    <s v="Bangalore"/>
    <s v="India"/>
    <x v="4"/>
    <n v="11"/>
    <s v="Q4"/>
  </r>
  <r>
    <s v="INV2-0236"/>
    <d v="2019-12-01T00:00:00"/>
    <s v="Customer_195"/>
    <s v="CUST0116"/>
    <x v="7"/>
    <x v="3"/>
    <n v="7"/>
    <n v="6952"/>
    <n v="48664"/>
    <n v="2309"/>
    <n v="46355"/>
    <n v="46355"/>
    <x v="1"/>
    <x v="4"/>
    <s v="Udaipur"/>
    <s v="India"/>
    <x v="2"/>
    <n v="12"/>
    <s v="Q4"/>
  </r>
  <r>
    <s v="INV2-0237"/>
    <d v="2020-03-08T00:00:00"/>
    <s v="Customer_445"/>
    <s v="CUST0093"/>
    <x v="6"/>
    <x v="3"/>
    <n v="1"/>
    <n v="7927"/>
    <n v="7927"/>
    <n v="1433"/>
    <n v="6494"/>
    <n v="6494"/>
    <x v="1"/>
    <x v="4"/>
    <s v="Jaipur"/>
    <s v="India"/>
    <x v="0"/>
    <n v="3"/>
    <s v="Q1"/>
  </r>
  <r>
    <s v="INV2-0238"/>
    <d v="2022-04-19T00:00:00"/>
    <s v="Customer_26"/>
    <s v="CUST0349"/>
    <x v="4"/>
    <x v="2"/>
    <n v="30"/>
    <n v="2385"/>
    <n v="71550"/>
    <n v="2816"/>
    <n v="68734"/>
    <n v="68734"/>
    <x v="0"/>
    <x v="1"/>
    <s v="Pune"/>
    <s v="India"/>
    <x v="4"/>
    <n v="4"/>
    <s v="Q2"/>
  </r>
  <r>
    <s v="INV2-0239"/>
    <d v="2024-01-23T00:00:00"/>
    <s v="Customer_20"/>
    <s v="CUST0319"/>
    <x v="2"/>
    <x v="2"/>
    <n v="27"/>
    <n v="52839"/>
    <n v="1426653"/>
    <n v="134877"/>
    <n v="1291776"/>
    <n v="1291776"/>
    <x v="2"/>
    <x v="4"/>
    <s v="Jaipur"/>
    <s v="India"/>
    <x v="3"/>
    <n v="1"/>
    <s v="Q1"/>
  </r>
  <r>
    <s v="INV2-0240"/>
    <d v="2024-05-08T00:00:00"/>
    <s v="Customer_112"/>
    <s v="CUST0121"/>
    <x v="6"/>
    <x v="3"/>
    <n v="28"/>
    <n v="45399"/>
    <n v="1271172"/>
    <n v="110862"/>
    <n v="1160310"/>
    <n v="1160310"/>
    <x v="5"/>
    <x v="4"/>
    <s v="Udaipur"/>
    <s v="India"/>
    <x v="3"/>
    <n v="5"/>
    <s v="Q2"/>
  </r>
  <r>
    <s v="INV2-0241"/>
    <d v="2022-12-01T00:00:00"/>
    <s v="Customer_368"/>
    <s v="CUST0432"/>
    <x v="1"/>
    <x v="1"/>
    <n v="29"/>
    <n v="24798"/>
    <n v="719142"/>
    <n v="116036"/>
    <n v="603106"/>
    <n v="603106"/>
    <x v="3"/>
    <x v="1"/>
    <s v="Mumbai"/>
    <s v="India"/>
    <x v="4"/>
    <n v="12"/>
    <s v="Q4"/>
  </r>
  <r>
    <s v="INV2-0242"/>
    <d v="2022-06-30T00:00:00"/>
    <s v="Customer_152"/>
    <s v="CUST0194"/>
    <x v="2"/>
    <x v="2"/>
    <n v="18"/>
    <n v="34001"/>
    <n v="612018"/>
    <n v="112852"/>
    <n v="499166"/>
    <n v="499166"/>
    <x v="1"/>
    <x v="1"/>
    <s v="Pune"/>
    <s v="India"/>
    <x v="4"/>
    <n v="6"/>
    <s v="Q2"/>
  </r>
  <r>
    <s v="INV2-0243"/>
    <d v="2024-05-06T00:00:00"/>
    <s v="Customer_212"/>
    <s v="CUST0127"/>
    <x v="7"/>
    <x v="3"/>
    <n v="18"/>
    <n v="14340"/>
    <n v="258120"/>
    <n v="40276"/>
    <n v="217844"/>
    <n v="217844"/>
    <x v="3"/>
    <x v="3"/>
    <s v="Bangalore"/>
    <s v="India"/>
    <x v="3"/>
    <n v="5"/>
    <s v="Q2"/>
  </r>
  <r>
    <s v="INV2-0244"/>
    <d v="2021-01-03T00:00:00"/>
    <s v="Customer_214"/>
    <s v="CUST0040"/>
    <x v="1"/>
    <x v="1"/>
    <n v="22"/>
    <n v="59723"/>
    <n v="1313906"/>
    <n v="122052"/>
    <n v="1191854"/>
    <n v="1191854"/>
    <x v="4"/>
    <x v="4"/>
    <s v="Udaipur"/>
    <s v="India"/>
    <x v="1"/>
    <n v="1"/>
    <s v="Q1"/>
  </r>
  <r>
    <s v="INV2-0245"/>
    <d v="2024-05-02T00:00:00"/>
    <s v="Customer_230"/>
    <s v="CUST0205"/>
    <x v="2"/>
    <x v="2"/>
    <n v="18"/>
    <n v="9002"/>
    <n v="162036"/>
    <n v="4960"/>
    <n v="157076"/>
    <n v="157076"/>
    <x v="5"/>
    <x v="2"/>
    <s v="New Delhi"/>
    <s v="India"/>
    <x v="3"/>
    <n v="5"/>
    <s v="Q2"/>
  </r>
  <r>
    <s v="INV2-0246"/>
    <d v="2024-09-10T00:00:00"/>
    <s v="Customer_182"/>
    <s v="CUST0067"/>
    <x v="0"/>
    <x v="0"/>
    <n v="29"/>
    <n v="13556"/>
    <n v="393124"/>
    <n v="24038"/>
    <n v="369086"/>
    <n v="369086"/>
    <x v="2"/>
    <x v="3"/>
    <s v="Mysore"/>
    <s v="India"/>
    <x v="3"/>
    <n v="9"/>
    <s v="Q3"/>
  </r>
  <r>
    <s v="INV2-0247"/>
    <d v="2021-01-15T00:00:00"/>
    <s v="Customer_172"/>
    <s v="CUST0318"/>
    <x v="0"/>
    <x v="0"/>
    <n v="29"/>
    <n v="51594"/>
    <n v="1496226"/>
    <n v="251218"/>
    <n v="1245008"/>
    <n v="1245008"/>
    <x v="0"/>
    <x v="1"/>
    <s v="Nagpur"/>
    <s v="India"/>
    <x v="1"/>
    <n v="1"/>
    <s v="Q1"/>
  </r>
  <r>
    <s v="INV2-0248"/>
    <d v="2022-05-01T00:00:00"/>
    <s v="Customer_383"/>
    <s v="CUST0296"/>
    <x v="7"/>
    <x v="3"/>
    <n v="24"/>
    <n v="40439"/>
    <n v="970536"/>
    <n v="192050"/>
    <n v="778486"/>
    <n v="778486"/>
    <x v="0"/>
    <x v="2"/>
    <s v="New Delhi"/>
    <s v="India"/>
    <x v="4"/>
    <n v="5"/>
    <s v="Q2"/>
  </r>
  <r>
    <s v="INV2-0249"/>
    <d v="2021-07-23T00:00:00"/>
    <s v="Customer_419"/>
    <s v="CUST0403"/>
    <x v="6"/>
    <x v="3"/>
    <n v="25"/>
    <n v="8001"/>
    <n v="200025"/>
    <n v="22207"/>
    <n v="177818"/>
    <n v="177818"/>
    <x v="5"/>
    <x v="2"/>
    <s v="New Delhi"/>
    <s v="India"/>
    <x v="1"/>
    <n v="7"/>
    <s v="Q3"/>
  </r>
  <r>
    <s v="INV2-0250"/>
    <d v="2019-01-22T00:00:00"/>
    <s v="Customer_210"/>
    <s v="CUST0023"/>
    <x v="2"/>
    <x v="2"/>
    <n v="7"/>
    <n v="29689"/>
    <n v="207823"/>
    <n v="19535"/>
    <n v="188288"/>
    <n v="188288"/>
    <x v="2"/>
    <x v="3"/>
    <s v="Bangalore"/>
    <s v="India"/>
    <x v="2"/>
    <n v="1"/>
    <s v="Q1"/>
  </r>
  <r>
    <s v="INV2-0251"/>
    <d v="2019-10-28T00:00:00"/>
    <s v="Customer_197"/>
    <s v="CUST0073"/>
    <x v="0"/>
    <x v="0"/>
    <n v="10"/>
    <n v="38105"/>
    <n v="381050"/>
    <n v="25852"/>
    <n v="355198"/>
    <n v="355198"/>
    <x v="4"/>
    <x v="4"/>
    <s v="Udaipur"/>
    <s v="India"/>
    <x v="2"/>
    <n v="10"/>
    <s v="Q4"/>
  </r>
  <r>
    <s v="INV2-0252"/>
    <d v="2024-06-05T00:00:00"/>
    <s v="Customer_436"/>
    <s v="CUST0103"/>
    <x v="7"/>
    <x v="3"/>
    <n v="30"/>
    <n v="4217"/>
    <n v="126510"/>
    <n v="9228"/>
    <n v="117282"/>
    <n v="117282"/>
    <x v="1"/>
    <x v="1"/>
    <s v="Pune"/>
    <s v="India"/>
    <x v="3"/>
    <n v="6"/>
    <s v="Q2"/>
  </r>
  <r>
    <s v="INV2-0253"/>
    <d v="2019-07-14T00:00:00"/>
    <s v="Customer_43"/>
    <s v="CUST0247"/>
    <x v="2"/>
    <x v="2"/>
    <n v="26"/>
    <n v="54332"/>
    <n v="1412632"/>
    <n v="190424"/>
    <n v="1222208"/>
    <n v="1222208"/>
    <x v="2"/>
    <x v="0"/>
    <s v="Coimbatore"/>
    <s v="India"/>
    <x v="2"/>
    <n v="7"/>
    <s v="Q3"/>
  </r>
  <r>
    <s v="INV2-0254"/>
    <d v="2021-01-08T00:00:00"/>
    <s v="Customer_485"/>
    <s v="CUST0251"/>
    <x v="6"/>
    <x v="3"/>
    <n v="15"/>
    <n v="57636"/>
    <n v="864540"/>
    <n v="64419"/>
    <n v="800121"/>
    <n v="800121"/>
    <x v="5"/>
    <x v="5"/>
    <s v="Ahmedabad"/>
    <s v="India"/>
    <x v="1"/>
    <n v="1"/>
    <s v="Q1"/>
  </r>
  <r>
    <s v="INV2-0255"/>
    <d v="2020-03-27T00:00:00"/>
    <s v="Customer_34"/>
    <s v="CUST0143"/>
    <x v="2"/>
    <x v="2"/>
    <n v="16"/>
    <n v="56665"/>
    <n v="906640"/>
    <n v="148996"/>
    <n v="757644"/>
    <n v="757644"/>
    <x v="2"/>
    <x v="2"/>
    <s v="New Delhi"/>
    <s v="India"/>
    <x v="0"/>
    <n v="3"/>
    <s v="Q1"/>
  </r>
  <r>
    <s v="INV2-0256"/>
    <d v="2019-12-06T00:00:00"/>
    <s v="Customer_469"/>
    <s v="CUST0446"/>
    <x v="0"/>
    <x v="0"/>
    <n v="6"/>
    <n v="38093"/>
    <n v="228558"/>
    <n v="44770"/>
    <n v="183788"/>
    <n v="183788"/>
    <x v="0"/>
    <x v="2"/>
    <s v="New Delhi"/>
    <s v="India"/>
    <x v="2"/>
    <n v="12"/>
    <s v="Q4"/>
  </r>
  <r>
    <s v="INV2-0257"/>
    <d v="2021-12-30T00:00:00"/>
    <s v="Customer_478"/>
    <s v="CUST0265"/>
    <x v="5"/>
    <x v="0"/>
    <n v="20"/>
    <n v="44765"/>
    <n v="895300"/>
    <n v="66839"/>
    <n v="828461"/>
    <n v="828461"/>
    <x v="2"/>
    <x v="2"/>
    <s v="New Delhi"/>
    <s v="India"/>
    <x v="1"/>
    <n v="12"/>
    <s v="Q4"/>
  </r>
  <r>
    <s v="INV2-0258"/>
    <d v="2024-07-21T00:00:00"/>
    <s v="Customer_221"/>
    <s v="CUST0055"/>
    <x v="3"/>
    <x v="1"/>
    <n v="6"/>
    <n v="29029"/>
    <n v="174174"/>
    <n v="17174"/>
    <n v="157000"/>
    <n v="157000"/>
    <x v="1"/>
    <x v="2"/>
    <s v="New Delhi"/>
    <s v="India"/>
    <x v="3"/>
    <n v="7"/>
    <s v="Q3"/>
  </r>
  <r>
    <s v="INV2-0259"/>
    <d v="2019-08-21T00:00:00"/>
    <s v="Customer_478"/>
    <s v="CUST0360"/>
    <x v="4"/>
    <x v="2"/>
    <n v="26"/>
    <n v="2301"/>
    <n v="59826"/>
    <n v="7396"/>
    <n v="52430"/>
    <n v="52430"/>
    <x v="1"/>
    <x v="1"/>
    <s v="Pune"/>
    <s v="India"/>
    <x v="2"/>
    <n v="8"/>
    <s v="Q3"/>
  </r>
  <r>
    <s v="INV2-0260"/>
    <d v="2021-08-09T00:00:00"/>
    <s v="Customer_264"/>
    <s v="CUST0276"/>
    <x v="2"/>
    <x v="2"/>
    <n v="26"/>
    <n v="51079"/>
    <n v="1328054"/>
    <n v="33936"/>
    <n v="1294118"/>
    <n v="1294118"/>
    <x v="1"/>
    <x v="3"/>
    <s v="Mysore"/>
    <s v="India"/>
    <x v="1"/>
    <n v="8"/>
    <s v="Q3"/>
  </r>
  <r>
    <s v="INV2-0261"/>
    <d v="2022-08-28T00:00:00"/>
    <s v="Customer_352"/>
    <s v="CUST0188"/>
    <x v="4"/>
    <x v="2"/>
    <n v="18"/>
    <n v="13714"/>
    <n v="246852"/>
    <n v="12681"/>
    <n v="234171"/>
    <n v="234171"/>
    <x v="1"/>
    <x v="2"/>
    <s v="New Delhi"/>
    <s v="India"/>
    <x v="4"/>
    <n v="8"/>
    <s v="Q3"/>
  </r>
  <r>
    <s v="INV2-0262"/>
    <d v="2023-01-31T00:00:00"/>
    <s v="Customer_362"/>
    <s v="CUST0439"/>
    <x v="4"/>
    <x v="2"/>
    <n v="30"/>
    <n v="8217"/>
    <n v="246510"/>
    <n v="7360"/>
    <n v="239150"/>
    <n v="239150"/>
    <x v="1"/>
    <x v="3"/>
    <s v="Bangalore"/>
    <s v="India"/>
    <x v="5"/>
    <n v="1"/>
    <s v="Q1"/>
  </r>
  <r>
    <s v="INV2-0263"/>
    <d v="2024-11-28T00:00:00"/>
    <s v="Customer_245"/>
    <s v="CUST0433"/>
    <x v="5"/>
    <x v="0"/>
    <n v="9"/>
    <n v="49172"/>
    <n v="442548"/>
    <n v="48237"/>
    <n v="394311"/>
    <n v="394311"/>
    <x v="1"/>
    <x v="5"/>
    <s v="Surat"/>
    <s v="India"/>
    <x v="3"/>
    <n v="11"/>
    <s v="Q4"/>
  </r>
  <r>
    <s v="INV2-0264"/>
    <d v="2024-09-11T00:00:00"/>
    <s v="Customer_387"/>
    <s v="CUST0073"/>
    <x v="6"/>
    <x v="3"/>
    <n v="29"/>
    <n v="11444"/>
    <n v="331876"/>
    <n v="8685"/>
    <n v="323191"/>
    <n v="323191"/>
    <x v="1"/>
    <x v="0"/>
    <s v="Chennai"/>
    <s v="India"/>
    <x v="3"/>
    <n v="9"/>
    <s v="Q3"/>
  </r>
  <r>
    <s v="INV2-0265"/>
    <d v="2024-04-20T00:00:00"/>
    <s v="Customer_153"/>
    <s v="CUST0363"/>
    <x v="2"/>
    <x v="2"/>
    <n v="11"/>
    <n v="58205"/>
    <n v="640255"/>
    <n v="78940"/>
    <n v="561315"/>
    <n v="561315"/>
    <x v="4"/>
    <x v="2"/>
    <s v="New Delhi"/>
    <s v="India"/>
    <x v="3"/>
    <n v="4"/>
    <s v="Q2"/>
  </r>
  <r>
    <s v="INV2-0266"/>
    <d v="2024-12-29T00:00:00"/>
    <s v="Customer_323"/>
    <s v="CUST0437"/>
    <x v="3"/>
    <x v="1"/>
    <n v="27"/>
    <n v="49744"/>
    <n v="1343088"/>
    <n v="21494"/>
    <n v="1321594"/>
    <n v="1321594"/>
    <x v="4"/>
    <x v="1"/>
    <s v="Pune"/>
    <s v="India"/>
    <x v="3"/>
    <n v="12"/>
    <s v="Q4"/>
  </r>
  <r>
    <s v="INV2-0267"/>
    <d v="2021-02-05T00:00:00"/>
    <s v="Customer_236"/>
    <s v="CUST0217"/>
    <x v="0"/>
    <x v="0"/>
    <n v="14"/>
    <n v="54521"/>
    <n v="763294"/>
    <n v="3922"/>
    <n v="759372"/>
    <n v="759372"/>
    <x v="4"/>
    <x v="4"/>
    <s v="Jaipur"/>
    <s v="India"/>
    <x v="1"/>
    <n v="2"/>
    <s v="Q1"/>
  </r>
  <r>
    <s v="INV2-0268"/>
    <d v="2019-10-09T00:00:00"/>
    <s v="Customer_369"/>
    <s v="CUST0322"/>
    <x v="0"/>
    <x v="0"/>
    <n v="13"/>
    <n v="42708"/>
    <n v="555204"/>
    <n v="56942"/>
    <n v="498262"/>
    <n v="498262"/>
    <x v="5"/>
    <x v="0"/>
    <s v="Coimbatore"/>
    <s v="India"/>
    <x v="2"/>
    <n v="10"/>
    <s v="Q4"/>
  </r>
  <r>
    <s v="INV2-0269"/>
    <d v="2022-05-26T00:00:00"/>
    <s v="Customer_129"/>
    <s v="CUST0444"/>
    <x v="0"/>
    <x v="0"/>
    <n v="16"/>
    <n v="24353"/>
    <n v="389648"/>
    <n v="65614"/>
    <n v="324034"/>
    <n v="324034"/>
    <x v="1"/>
    <x v="3"/>
    <s v="Mysore"/>
    <s v="India"/>
    <x v="4"/>
    <n v="5"/>
    <s v="Q2"/>
  </r>
  <r>
    <s v="INV2-0270"/>
    <d v="2021-09-04T00:00:00"/>
    <s v="Customer_54"/>
    <s v="CUST0437"/>
    <x v="2"/>
    <x v="2"/>
    <n v="2"/>
    <n v="11379"/>
    <n v="22758"/>
    <n v="386"/>
    <n v="22372"/>
    <n v="22372"/>
    <x v="2"/>
    <x v="1"/>
    <s v="Mumbai"/>
    <s v="India"/>
    <x v="1"/>
    <n v="9"/>
    <s v="Q3"/>
  </r>
  <r>
    <s v="INV2-0271"/>
    <d v="2020-02-08T00:00:00"/>
    <s v="Customer_433"/>
    <s v="CUST0340"/>
    <x v="0"/>
    <x v="0"/>
    <n v="1"/>
    <n v="13981"/>
    <n v="13981"/>
    <n v="770"/>
    <n v="13211"/>
    <n v="13211"/>
    <x v="2"/>
    <x v="4"/>
    <s v="Jaipur"/>
    <s v="India"/>
    <x v="0"/>
    <n v="2"/>
    <s v="Q1"/>
  </r>
  <r>
    <s v="INV2-0272"/>
    <d v="2022-03-19T00:00:00"/>
    <s v="Customer_9"/>
    <s v="CUST0314"/>
    <x v="2"/>
    <x v="2"/>
    <n v="4"/>
    <n v="58351"/>
    <n v="233404"/>
    <n v="21860"/>
    <n v="211544"/>
    <n v="211544"/>
    <x v="3"/>
    <x v="2"/>
    <s v="New Delhi"/>
    <s v="India"/>
    <x v="4"/>
    <n v="3"/>
    <s v="Q1"/>
  </r>
  <r>
    <s v="INV2-0273"/>
    <d v="2020-10-22T00:00:00"/>
    <s v="Customer_136"/>
    <s v="CUST0136"/>
    <x v="1"/>
    <x v="1"/>
    <n v="12"/>
    <n v="47585"/>
    <n v="571020"/>
    <n v="82946"/>
    <n v="488074"/>
    <n v="488074"/>
    <x v="0"/>
    <x v="4"/>
    <s v="Udaipur"/>
    <s v="India"/>
    <x v="0"/>
    <n v="10"/>
    <s v="Q4"/>
  </r>
  <r>
    <s v="INV2-0274"/>
    <d v="2020-11-24T00:00:00"/>
    <s v="Customer_359"/>
    <s v="CUST0484"/>
    <x v="2"/>
    <x v="2"/>
    <n v="9"/>
    <n v="59975"/>
    <n v="539775"/>
    <n v="20474"/>
    <n v="519301"/>
    <n v="519301"/>
    <x v="2"/>
    <x v="4"/>
    <s v="Jaipur"/>
    <s v="India"/>
    <x v="0"/>
    <n v="11"/>
    <s v="Q4"/>
  </r>
  <r>
    <s v="INV2-0275"/>
    <d v="2021-12-22T00:00:00"/>
    <s v="Customer_368"/>
    <s v="CUST0373"/>
    <x v="5"/>
    <x v="0"/>
    <n v="13"/>
    <n v="19882"/>
    <n v="258466"/>
    <n v="34026"/>
    <n v="224440"/>
    <n v="224440"/>
    <x v="0"/>
    <x v="0"/>
    <s v="Chennai"/>
    <s v="India"/>
    <x v="1"/>
    <n v="12"/>
    <s v="Q4"/>
  </r>
  <r>
    <s v="INV2-0276"/>
    <d v="2022-03-22T00:00:00"/>
    <s v="Customer_390"/>
    <s v="CUST0132"/>
    <x v="3"/>
    <x v="1"/>
    <n v="8"/>
    <n v="45796"/>
    <n v="366368"/>
    <n v="45743"/>
    <n v="320625"/>
    <n v="320625"/>
    <x v="1"/>
    <x v="0"/>
    <s v="Coimbatore"/>
    <s v="India"/>
    <x v="4"/>
    <n v="3"/>
    <s v="Q1"/>
  </r>
  <r>
    <s v="INV2-0277"/>
    <d v="2024-11-19T00:00:00"/>
    <s v="Customer_269"/>
    <s v="CUST0349"/>
    <x v="0"/>
    <x v="0"/>
    <n v="27"/>
    <n v="53085"/>
    <n v="1433295"/>
    <n v="202049"/>
    <n v="1231246"/>
    <n v="1231246"/>
    <x v="3"/>
    <x v="1"/>
    <s v="Mumbai"/>
    <s v="India"/>
    <x v="3"/>
    <n v="11"/>
    <s v="Q4"/>
  </r>
  <r>
    <s v="INV2-0278"/>
    <d v="2022-01-16T00:00:00"/>
    <s v="Customer_106"/>
    <s v="CUST0231"/>
    <x v="6"/>
    <x v="3"/>
    <n v="9"/>
    <n v="26468"/>
    <n v="238212"/>
    <n v="32238"/>
    <n v="205974"/>
    <n v="205974"/>
    <x v="2"/>
    <x v="1"/>
    <s v="Mumbai"/>
    <s v="India"/>
    <x v="4"/>
    <n v="1"/>
    <s v="Q1"/>
  </r>
  <r>
    <s v="INV2-0279"/>
    <d v="2023-06-07T00:00:00"/>
    <s v="Customer_454"/>
    <s v="CUST0142"/>
    <x v="5"/>
    <x v="0"/>
    <n v="24"/>
    <n v="23190"/>
    <n v="556560"/>
    <n v="94262"/>
    <n v="462298"/>
    <n v="462298"/>
    <x v="2"/>
    <x v="5"/>
    <s v="Surat"/>
    <s v="India"/>
    <x v="5"/>
    <n v="6"/>
    <s v="Q2"/>
  </r>
  <r>
    <s v="INV2-0280"/>
    <d v="2024-11-10T00:00:00"/>
    <s v="Customer_50"/>
    <s v="CUST0020"/>
    <x v="7"/>
    <x v="3"/>
    <n v="20"/>
    <n v="50054"/>
    <n v="1001080"/>
    <n v="83737"/>
    <n v="917343"/>
    <n v="917343"/>
    <x v="2"/>
    <x v="5"/>
    <s v="Surat"/>
    <s v="India"/>
    <x v="3"/>
    <n v="11"/>
    <s v="Q4"/>
  </r>
  <r>
    <s v="INV2-0281"/>
    <d v="2024-07-11T00:00:00"/>
    <s v="Customer_490"/>
    <s v="CUST0208"/>
    <x v="5"/>
    <x v="0"/>
    <n v="28"/>
    <n v="59072"/>
    <n v="1654016"/>
    <n v="256824"/>
    <n v="1397192"/>
    <n v="1397192"/>
    <x v="0"/>
    <x v="2"/>
    <s v="New Delhi"/>
    <s v="India"/>
    <x v="3"/>
    <n v="7"/>
    <s v="Q3"/>
  </r>
  <r>
    <s v="INV2-0282"/>
    <d v="2021-06-14T00:00:00"/>
    <s v="Customer_421"/>
    <s v="CUST0131"/>
    <x v="6"/>
    <x v="3"/>
    <n v="11"/>
    <n v="21275"/>
    <n v="234025"/>
    <n v="29789"/>
    <n v="204236"/>
    <n v="204236"/>
    <x v="5"/>
    <x v="5"/>
    <s v="Surat"/>
    <s v="India"/>
    <x v="1"/>
    <n v="6"/>
    <s v="Q2"/>
  </r>
  <r>
    <s v="INV2-0283"/>
    <d v="2019-09-25T00:00:00"/>
    <s v="Customer_61"/>
    <s v="CUST0095"/>
    <x v="5"/>
    <x v="0"/>
    <n v="15"/>
    <n v="22110"/>
    <n v="331650"/>
    <n v="2808"/>
    <n v="328842"/>
    <n v="328842"/>
    <x v="3"/>
    <x v="1"/>
    <s v="Mumbai"/>
    <s v="India"/>
    <x v="2"/>
    <n v="9"/>
    <s v="Q3"/>
  </r>
  <r>
    <s v="INV2-0284"/>
    <d v="2022-11-10T00:00:00"/>
    <s v="Customer_323"/>
    <s v="CUST0339"/>
    <x v="2"/>
    <x v="2"/>
    <n v="11"/>
    <n v="37132"/>
    <n v="408452"/>
    <n v="20354"/>
    <n v="388098"/>
    <n v="388098"/>
    <x v="1"/>
    <x v="1"/>
    <s v="Pune"/>
    <s v="India"/>
    <x v="4"/>
    <n v="11"/>
    <s v="Q4"/>
  </r>
  <r>
    <s v="INV2-0285"/>
    <d v="2019-10-23T00:00:00"/>
    <s v="Customer_280"/>
    <s v="CUST0057"/>
    <x v="7"/>
    <x v="3"/>
    <n v="27"/>
    <n v="37634"/>
    <n v="1016118"/>
    <n v="142013"/>
    <n v="874105"/>
    <n v="874105"/>
    <x v="4"/>
    <x v="0"/>
    <s v="Chennai"/>
    <s v="India"/>
    <x v="2"/>
    <n v="10"/>
    <s v="Q4"/>
  </r>
  <r>
    <s v="INV2-0286"/>
    <d v="2024-09-12T00:00:00"/>
    <s v="Customer_257"/>
    <s v="CUST0374"/>
    <x v="1"/>
    <x v="1"/>
    <n v="12"/>
    <n v="26413"/>
    <n v="316956"/>
    <n v="61675"/>
    <n v="255281"/>
    <n v="255281"/>
    <x v="2"/>
    <x v="1"/>
    <s v="Nagpur"/>
    <s v="India"/>
    <x v="3"/>
    <n v="9"/>
    <s v="Q3"/>
  </r>
  <r>
    <s v="INV2-0287"/>
    <d v="2020-06-25T00:00:00"/>
    <s v="Customer_25"/>
    <s v="CUST0475"/>
    <x v="6"/>
    <x v="3"/>
    <n v="2"/>
    <n v="22965"/>
    <n v="45930"/>
    <n v="1985"/>
    <n v="43945"/>
    <n v="43945"/>
    <x v="5"/>
    <x v="1"/>
    <s v="Pune"/>
    <s v="India"/>
    <x v="0"/>
    <n v="6"/>
    <s v="Q2"/>
  </r>
  <r>
    <s v="INV2-0288"/>
    <d v="2023-04-20T00:00:00"/>
    <s v="Customer_463"/>
    <s v="CUST0471"/>
    <x v="1"/>
    <x v="1"/>
    <n v="23"/>
    <n v="4832"/>
    <n v="111136"/>
    <n v="21644"/>
    <n v="89492"/>
    <n v="89492"/>
    <x v="3"/>
    <x v="3"/>
    <s v="Bangalore"/>
    <s v="India"/>
    <x v="5"/>
    <n v="4"/>
    <s v="Q2"/>
  </r>
  <r>
    <s v="INV2-0289"/>
    <d v="2023-05-12T00:00:00"/>
    <s v="Customer_456"/>
    <s v="CUST0266"/>
    <x v="1"/>
    <x v="1"/>
    <n v="15"/>
    <n v="19629"/>
    <n v="294435"/>
    <n v="9275"/>
    <n v="285160"/>
    <n v="285160"/>
    <x v="5"/>
    <x v="2"/>
    <s v="New Delhi"/>
    <s v="India"/>
    <x v="5"/>
    <n v="5"/>
    <s v="Q2"/>
  </r>
  <r>
    <s v="INV2-0290"/>
    <d v="2020-01-14T00:00:00"/>
    <s v="Customer_327"/>
    <s v="CUST0327"/>
    <x v="1"/>
    <x v="1"/>
    <n v="20"/>
    <n v="25511"/>
    <n v="510220"/>
    <n v="21422"/>
    <n v="488798"/>
    <n v="488798"/>
    <x v="2"/>
    <x v="0"/>
    <s v="Coimbatore"/>
    <s v="India"/>
    <x v="0"/>
    <n v="1"/>
    <s v="Q1"/>
  </r>
  <r>
    <s v="INV2-0291"/>
    <d v="2022-12-16T00:00:00"/>
    <s v="Customer_39"/>
    <s v="CUST0016"/>
    <x v="6"/>
    <x v="3"/>
    <n v="19"/>
    <n v="16963"/>
    <n v="322297"/>
    <n v="7631"/>
    <n v="314666"/>
    <n v="314666"/>
    <x v="0"/>
    <x v="3"/>
    <s v="Mysore"/>
    <s v="India"/>
    <x v="4"/>
    <n v="12"/>
    <s v="Q4"/>
  </r>
  <r>
    <s v="INV2-0292"/>
    <d v="2019-08-30T00:00:00"/>
    <s v="Customer_109"/>
    <s v="CUST0234"/>
    <x v="3"/>
    <x v="1"/>
    <n v="9"/>
    <n v="13428"/>
    <n v="120852"/>
    <n v="1685"/>
    <n v="119167"/>
    <n v="119167"/>
    <x v="2"/>
    <x v="0"/>
    <s v="Coimbatore"/>
    <s v="India"/>
    <x v="2"/>
    <n v="8"/>
    <s v="Q3"/>
  </r>
  <r>
    <s v="INV2-0293"/>
    <d v="2019-10-06T00:00:00"/>
    <s v="Customer_213"/>
    <s v="CUST0060"/>
    <x v="0"/>
    <x v="0"/>
    <n v="1"/>
    <n v="26166"/>
    <n v="26166"/>
    <n v="4211"/>
    <n v="21955"/>
    <n v="21955"/>
    <x v="5"/>
    <x v="0"/>
    <s v="Chennai"/>
    <s v="India"/>
    <x v="2"/>
    <n v="10"/>
    <s v="Q4"/>
  </r>
  <r>
    <s v="INV2-0294"/>
    <d v="2021-12-01T00:00:00"/>
    <s v="Customer_410"/>
    <s v="CUST0358"/>
    <x v="2"/>
    <x v="2"/>
    <n v="3"/>
    <n v="22659"/>
    <n v="67977"/>
    <n v="2217"/>
    <n v="65760"/>
    <n v="65760"/>
    <x v="1"/>
    <x v="1"/>
    <s v="Mumbai"/>
    <s v="India"/>
    <x v="1"/>
    <n v="12"/>
    <s v="Q4"/>
  </r>
  <r>
    <s v="INV2-0295"/>
    <d v="2022-10-15T00:00:00"/>
    <s v="Customer_19"/>
    <s v="CUST0045"/>
    <x v="1"/>
    <x v="1"/>
    <n v="8"/>
    <n v="3201"/>
    <n v="25608"/>
    <n v="257"/>
    <n v="25351"/>
    <n v="25351"/>
    <x v="1"/>
    <x v="5"/>
    <s v="Ahmedabad"/>
    <s v="India"/>
    <x v="4"/>
    <n v="10"/>
    <s v="Q4"/>
  </r>
  <r>
    <s v="INV2-0296"/>
    <d v="2024-08-03T00:00:00"/>
    <s v="Customer_416"/>
    <s v="CUST0087"/>
    <x v="1"/>
    <x v="1"/>
    <n v="26"/>
    <n v="22265"/>
    <n v="578890"/>
    <n v="9614"/>
    <n v="569276"/>
    <n v="569276"/>
    <x v="5"/>
    <x v="5"/>
    <s v="Surat"/>
    <s v="India"/>
    <x v="3"/>
    <n v="8"/>
    <s v="Q3"/>
  </r>
  <r>
    <s v="INV2-0297"/>
    <d v="2024-08-25T00:00:00"/>
    <s v="Customer_3"/>
    <s v="CUST0311"/>
    <x v="3"/>
    <x v="1"/>
    <n v="26"/>
    <n v="24486"/>
    <n v="636636"/>
    <n v="118244"/>
    <n v="518392"/>
    <n v="518392"/>
    <x v="5"/>
    <x v="2"/>
    <s v="New Delhi"/>
    <s v="India"/>
    <x v="3"/>
    <n v="8"/>
    <s v="Q3"/>
  </r>
  <r>
    <s v="INV2-0298"/>
    <d v="2023-01-29T00:00:00"/>
    <s v="Customer_463"/>
    <s v="CUST0113"/>
    <x v="4"/>
    <x v="2"/>
    <n v="17"/>
    <n v="21253"/>
    <n v="361301"/>
    <n v="42721"/>
    <n v="318580"/>
    <n v="318580"/>
    <x v="0"/>
    <x v="4"/>
    <s v="Udaipur"/>
    <s v="India"/>
    <x v="5"/>
    <n v="1"/>
    <s v="Q1"/>
  </r>
  <r>
    <s v="INV2-0299"/>
    <d v="2024-11-01T00:00:00"/>
    <s v="Customer_227"/>
    <s v="CUST0394"/>
    <x v="3"/>
    <x v="1"/>
    <n v="17"/>
    <n v="42496"/>
    <n v="722432"/>
    <n v="34325"/>
    <n v="688107"/>
    <n v="688107"/>
    <x v="3"/>
    <x v="3"/>
    <s v="Mysore"/>
    <s v="India"/>
    <x v="3"/>
    <n v="11"/>
    <s v="Q4"/>
  </r>
  <r>
    <s v="INV2-0300"/>
    <d v="2021-11-03T00:00:00"/>
    <s v="Customer_173"/>
    <s v="CUST0063"/>
    <x v="5"/>
    <x v="0"/>
    <n v="2"/>
    <n v="32964"/>
    <n v="65928"/>
    <n v="6894"/>
    <n v="59034"/>
    <n v="59034"/>
    <x v="3"/>
    <x v="5"/>
    <s v="Ahmedabad"/>
    <s v="India"/>
    <x v="1"/>
    <n v="11"/>
    <s v="Q4"/>
  </r>
  <r>
    <s v="INV2-0301"/>
    <d v="2019-07-12T00:00:00"/>
    <s v="Customer_307"/>
    <s v="CUST0428"/>
    <x v="0"/>
    <x v="0"/>
    <n v="28"/>
    <n v="1802"/>
    <n v="50456"/>
    <n v="1887"/>
    <n v="48569"/>
    <n v="48569"/>
    <x v="5"/>
    <x v="1"/>
    <s v="Pune"/>
    <s v="India"/>
    <x v="2"/>
    <n v="7"/>
    <s v="Q3"/>
  </r>
  <r>
    <s v="INV2-0302"/>
    <d v="2023-05-08T00:00:00"/>
    <s v="Customer_184"/>
    <s v="CUST0373"/>
    <x v="0"/>
    <x v="0"/>
    <n v="3"/>
    <n v="27423"/>
    <n v="82269"/>
    <n v="5162"/>
    <n v="77107"/>
    <n v="77107"/>
    <x v="4"/>
    <x v="0"/>
    <s v="Coimbatore"/>
    <s v="India"/>
    <x v="5"/>
    <n v="5"/>
    <s v="Q2"/>
  </r>
  <r>
    <s v="INV2-0303"/>
    <d v="2023-11-27T00:00:00"/>
    <s v="Customer_418"/>
    <s v="CUST0253"/>
    <x v="0"/>
    <x v="0"/>
    <n v="30"/>
    <n v="10767"/>
    <n v="323010"/>
    <n v="52878"/>
    <n v="270132"/>
    <n v="270132"/>
    <x v="5"/>
    <x v="1"/>
    <s v="Pune"/>
    <s v="India"/>
    <x v="5"/>
    <n v="11"/>
    <s v="Q4"/>
  </r>
  <r>
    <s v="INV2-0304"/>
    <d v="2023-10-16T00:00:00"/>
    <s v="Customer_468"/>
    <s v="CUST0059"/>
    <x v="4"/>
    <x v="2"/>
    <n v="26"/>
    <n v="59348"/>
    <n v="1543048"/>
    <n v="73611"/>
    <n v="1469437"/>
    <n v="1469437"/>
    <x v="3"/>
    <x v="1"/>
    <s v="Mumbai"/>
    <s v="India"/>
    <x v="5"/>
    <n v="10"/>
    <s v="Q4"/>
  </r>
  <r>
    <s v="INV2-0305"/>
    <d v="2019-08-17T00:00:00"/>
    <s v="Customer_317"/>
    <s v="CUST0427"/>
    <x v="2"/>
    <x v="2"/>
    <n v="2"/>
    <n v="15698"/>
    <n v="31396"/>
    <n v="4966"/>
    <n v="26430"/>
    <n v="26430"/>
    <x v="5"/>
    <x v="5"/>
    <s v="Ahmedabad"/>
    <s v="India"/>
    <x v="2"/>
    <n v="8"/>
    <s v="Q3"/>
  </r>
  <r>
    <s v="INV2-0306"/>
    <d v="2023-12-30T00:00:00"/>
    <s v="Customer_408"/>
    <s v="CUST0295"/>
    <x v="0"/>
    <x v="0"/>
    <n v="10"/>
    <n v="1437"/>
    <n v="14370"/>
    <n v="2622"/>
    <n v="11748"/>
    <n v="11748"/>
    <x v="5"/>
    <x v="3"/>
    <s v="Bangalore"/>
    <s v="India"/>
    <x v="5"/>
    <n v="12"/>
    <s v="Q4"/>
  </r>
  <r>
    <s v="INV2-0307"/>
    <d v="2023-09-24T00:00:00"/>
    <s v="Customer_103"/>
    <s v="CUST0184"/>
    <x v="4"/>
    <x v="2"/>
    <n v="18"/>
    <n v="47048"/>
    <n v="846864"/>
    <n v="81847"/>
    <n v="765017"/>
    <n v="765017"/>
    <x v="2"/>
    <x v="5"/>
    <s v="Surat"/>
    <s v="India"/>
    <x v="5"/>
    <n v="9"/>
    <s v="Q3"/>
  </r>
  <r>
    <s v="INV2-0308"/>
    <d v="2022-11-13T00:00:00"/>
    <s v="Customer_474"/>
    <s v="CUST0017"/>
    <x v="0"/>
    <x v="0"/>
    <n v="6"/>
    <n v="37653"/>
    <n v="225918"/>
    <n v="9"/>
    <n v="225909"/>
    <n v="225909"/>
    <x v="2"/>
    <x v="4"/>
    <s v="Udaipur"/>
    <s v="India"/>
    <x v="4"/>
    <n v="11"/>
    <s v="Q4"/>
  </r>
  <r>
    <s v="INV2-0309"/>
    <d v="2019-11-09T00:00:00"/>
    <s v="Customer_458"/>
    <s v="CUST0383"/>
    <x v="7"/>
    <x v="3"/>
    <n v="27"/>
    <n v="55356"/>
    <n v="1494612"/>
    <n v="65663"/>
    <n v="1428949"/>
    <n v="1428949"/>
    <x v="0"/>
    <x v="4"/>
    <s v="Udaipur"/>
    <s v="India"/>
    <x v="2"/>
    <n v="11"/>
    <s v="Q4"/>
  </r>
  <r>
    <s v="INV2-0310"/>
    <d v="2021-01-25T00:00:00"/>
    <s v="Customer_467"/>
    <s v="CUST0060"/>
    <x v="3"/>
    <x v="1"/>
    <n v="24"/>
    <n v="7898"/>
    <n v="189552"/>
    <n v="34972"/>
    <n v="154580"/>
    <n v="154580"/>
    <x v="0"/>
    <x v="5"/>
    <s v="Ahmedabad"/>
    <s v="India"/>
    <x v="1"/>
    <n v="1"/>
    <s v="Q1"/>
  </r>
  <r>
    <s v="INV2-0311"/>
    <d v="2023-07-09T00:00:00"/>
    <s v="Customer_381"/>
    <s v="CUST0437"/>
    <x v="2"/>
    <x v="2"/>
    <n v="24"/>
    <n v="6325"/>
    <n v="151800"/>
    <n v="6053"/>
    <n v="145747"/>
    <n v="145747"/>
    <x v="2"/>
    <x v="3"/>
    <s v="Mysore"/>
    <s v="India"/>
    <x v="5"/>
    <n v="7"/>
    <s v="Q3"/>
  </r>
  <r>
    <s v="INV2-0312"/>
    <d v="2024-08-01T00:00:00"/>
    <s v="Customer_93"/>
    <s v="CUST0441"/>
    <x v="5"/>
    <x v="0"/>
    <n v="9"/>
    <n v="15458"/>
    <n v="139122"/>
    <n v="22053"/>
    <n v="117069"/>
    <n v="117069"/>
    <x v="3"/>
    <x v="1"/>
    <s v="Nagpur"/>
    <s v="India"/>
    <x v="3"/>
    <n v="8"/>
    <s v="Q3"/>
  </r>
  <r>
    <s v="INV2-0313"/>
    <d v="2023-07-07T00:00:00"/>
    <s v="Customer_55"/>
    <s v="CUST0427"/>
    <x v="3"/>
    <x v="1"/>
    <n v="2"/>
    <n v="21167"/>
    <n v="42334"/>
    <n v="5419"/>
    <n v="36915"/>
    <n v="36915"/>
    <x v="4"/>
    <x v="2"/>
    <s v="New Delhi"/>
    <s v="India"/>
    <x v="5"/>
    <n v="7"/>
    <s v="Q3"/>
  </r>
  <r>
    <s v="INV2-0314"/>
    <d v="2022-01-08T00:00:00"/>
    <s v="Customer_169"/>
    <s v="CUST0352"/>
    <x v="0"/>
    <x v="0"/>
    <n v="27"/>
    <n v="8202"/>
    <n v="221454"/>
    <n v="36270"/>
    <n v="185184"/>
    <n v="185184"/>
    <x v="1"/>
    <x v="4"/>
    <s v="Jaipur"/>
    <s v="India"/>
    <x v="4"/>
    <n v="1"/>
    <s v="Q1"/>
  </r>
  <r>
    <s v="INV2-0315"/>
    <d v="2021-09-29T00:00:00"/>
    <s v="Customer_32"/>
    <s v="CUST0358"/>
    <x v="4"/>
    <x v="2"/>
    <n v="6"/>
    <n v="34346"/>
    <n v="206076"/>
    <n v="35651"/>
    <n v="170425"/>
    <n v="170425"/>
    <x v="4"/>
    <x v="4"/>
    <s v="Jaipur"/>
    <s v="India"/>
    <x v="1"/>
    <n v="9"/>
    <s v="Q3"/>
  </r>
  <r>
    <s v="INV2-0316"/>
    <d v="2020-02-17T00:00:00"/>
    <s v="Customer_115"/>
    <s v="CUST0109"/>
    <x v="7"/>
    <x v="3"/>
    <n v="6"/>
    <n v="28403"/>
    <n v="170418"/>
    <n v="32380"/>
    <n v="138038"/>
    <n v="138038"/>
    <x v="1"/>
    <x v="4"/>
    <s v="Udaipur"/>
    <s v="India"/>
    <x v="0"/>
    <n v="2"/>
    <s v="Q1"/>
  </r>
  <r>
    <s v="INV2-0317"/>
    <d v="2022-09-09T00:00:00"/>
    <s v="Customer_35"/>
    <s v="CUST0339"/>
    <x v="1"/>
    <x v="1"/>
    <n v="25"/>
    <n v="38992"/>
    <n v="974800"/>
    <n v="111212"/>
    <n v="863588"/>
    <n v="863588"/>
    <x v="4"/>
    <x v="2"/>
    <s v="New Delhi"/>
    <s v="India"/>
    <x v="4"/>
    <n v="9"/>
    <s v="Q3"/>
  </r>
  <r>
    <s v="INV2-0318"/>
    <d v="2021-08-13T00:00:00"/>
    <s v="Customer_451"/>
    <s v="CUST0370"/>
    <x v="4"/>
    <x v="2"/>
    <n v="18"/>
    <n v="28978"/>
    <n v="521604"/>
    <n v="32337"/>
    <n v="489267"/>
    <n v="489267"/>
    <x v="1"/>
    <x v="4"/>
    <s v="Jaipur"/>
    <s v="India"/>
    <x v="1"/>
    <n v="8"/>
    <s v="Q3"/>
  </r>
  <r>
    <s v="INV2-0319"/>
    <d v="2020-08-11T00:00:00"/>
    <s v="Customer_74"/>
    <s v="CUST0059"/>
    <x v="3"/>
    <x v="1"/>
    <n v="29"/>
    <n v="41669"/>
    <n v="1208401"/>
    <n v="150664"/>
    <n v="1057737"/>
    <n v="1057737"/>
    <x v="1"/>
    <x v="5"/>
    <s v="Ahmedabad"/>
    <s v="India"/>
    <x v="0"/>
    <n v="8"/>
    <s v="Q3"/>
  </r>
  <r>
    <s v="INV2-0320"/>
    <d v="2021-05-27T00:00:00"/>
    <s v="Customer_180"/>
    <s v="CUST0464"/>
    <x v="0"/>
    <x v="0"/>
    <n v="24"/>
    <n v="57384"/>
    <n v="1377216"/>
    <n v="167755"/>
    <n v="1209461"/>
    <n v="1209461"/>
    <x v="2"/>
    <x v="4"/>
    <s v="Udaipur"/>
    <s v="India"/>
    <x v="1"/>
    <n v="5"/>
    <s v="Q2"/>
  </r>
  <r>
    <s v="INV2-0321"/>
    <d v="2022-04-27T00:00:00"/>
    <s v="Customer_429"/>
    <s v="CUST0103"/>
    <x v="5"/>
    <x v="0"/>
    <n v="6"/>
    <n v="2199"/>
    <n v="13194"/>
    <n v="1022"/>
    <n v="12172"/>
    <n v="12172"/>
    <x v="3"/>
    <x v="3"/>
    <s v="Mysore"/>
    <s v="India"/>
    <x v="4"/>
    <n v="4"/>
    <s v="Q2"/>
  </r>
  <r>
    <s v="INV2-0322"/>
    <d v="2019-10-11T00:00:00"/>
    <s v="Customer_325"/>
    <s v="CUST0419"/>
    <x v="2"/>
    <x v="2"/>
    <n v="3"/>
    <n v="21538"/>
    <n v="64614"/>
    <n v="11247"/>
    <n v="53367"/>
    <n v="53367"/>
    <x v="3"/>
    <x v="2"/>
    <s v="New Delhi"/>
    <s v="India"/>
    <x v="2"/>
    <n v="10"/>
    <s v="Q4"/>
  </r>
  <r>
    <s v="INV2-0323"/>
    <d v="2019-05-27T00:00:00"/>
    <s v="Customer_184"/>
    <s v="CUST0443"/>
    <x v="1"/>
    <x v="1"/>
    <n v="19"/>
    <n v="15049"/>
    <n v="285931"/>
    <n v="6259"/>
    <n v="279672"/>
    <n v="279672"/>
    <x v="1"/>
    <x v="4"/>
    <s v="Jaipur"/>
    <s v="India"/>
    <x v="2"/>
    <n v="5"/>
    <s v="Q2"/>
  </r>
  <r>
    <s v="INV2-0324"/>
    <d v="2019-09-12T00:00:00"/>
    <s v="Customer_36"/>
    <s v="CUST0235"/>
    <x v="7"/>
    <x v="3"/>
    <n v="26"/>
    <n v="2873"/>
    <n v="74698"/>
    <n v="14890"/>
    <n v="59808"/>
    <n v="59808"/>
    <x v="2"/>
    <x v="3"/>
    <s v="Bangalore"/>
    <s v="India"/>
    <x v="2"/>
    <n v="9"/>
    <s v="Q3"/>
  </r>
  <r>
    <s v="INV2-0325"/>
    <d v="2023-10-23T00:00:00"/>
    <s v="Customer_256"/>
    <s v="CUST0348"/>
    <x v="5"/>
    <x v="0"/>
    <n v="7"/>
    <n v="14589"/>
    <n v="102123"/>
    <n v="12384"/>
    <n v="89739"/>
    <n v="89739"/>
    <x v="1"/>
    <x v="5"/>
    <s v="Ahmedabad"/>
    <s v="India"/>
    <x v="5"/>
    <n v="10"/>
    <s v="Q4"/>
  </r>
  <r>
    <s v="INV2-0326"/>
    <d v="2020-09-21T00:00:00"/>
    <s v="Customer_297"/>
    <s v="CUST0474"/>
    <x v="7"/>
    <x v="3"/>
    <n v="8"/>
    <n v="35238"/>
    <n v="281904"/>
    <n v="11538"/>
    <n v="270366"/>
    <n v="270366"/>
    <x v="3"/>
    <x v="5"/>
    <s v="Ahmedabad"/>
    <s v="India"/>
    <x v="0"/>
    <n v="9"/>
    <s v="Q3"/>
  </r>
  <r>
    <s v="INV2-0327"/>
    <d v="2019-10-02T00:00:00"/>
    <s v="Customer_333"/>
    <s v="CUST0222"/>
    <x v="7"/>
    <x v="3"/>
    <n v="2"/>
    <n v="31625"/>
    <n v="63250"/>
    <n v="11401"/>
    <n v="51849"/>
    <n v="51849"/>
    <x v="1"/>
    <x v="0"/>
    <s v="Coimbatore"/>
    <s v="India"/>
    <x v="2"/>
    <n v="10"/>
    <s v="Q4"/>
  </r>
  <r>
    <s v="INV2-0328"/>
    <d v="2024-02-15T00:00:00"/>
    <s v="Customer_205"/>
    <s v="CUST0269"/>
    <x v="6"/>
    <x v="3"/>
    <n v="6"/>
    <n v="47594"/>
    <n v="285564"/>
    <n v="3023"/>
    <n v="282541"/>
    <n v="282541"/>
    <x v="1"/>
    <x v="1"/>
    <s v="Pune"/>
    <s v="India"/>
    <x v="3"/>
    <n v="2"/>
    <s v="Q1"/>
  </r>
  <r>
    <s v="INV2-0329"/>
    <d v="2022-06-13T00:00:00"/>
    <s v="Customer_68"/>
    <s v="CUST0028"/>
    <x v="1"/>
    <x v="1"/>
    <n v="13"/>
    <n v="51555"/>
    <n v="670215"/>
    <n v="77303"/>
    <n v="592912"/>
    <n v="592912"/>
    <x v="1"/>
    <x v="3"/>
    <s v="Bangalore"/>
    <s v="India"/>
    <x v="4"/>
    <n v="6"/>
    <s v="Q2"/>
  </r>
  <r>
    <s v="INV2-0330"/>
    <d v="2022-12-11T00:00:00"/>
    <s v="Customer_158"/>
    <s v="CUST0161"/>
    <x v="0"/>
    <x v="0"/>
    <n v="13"/>
    <n v="56418"/>
    <n v="733434"/>
    <n v="65963"/>
    <n v="667471"/>
    <n v="667471"/>
    <x v="4"/>
    <x v="4"/>
    <s v="Udaipur"/>
    <s v="India"/>
    <x v="4"/>
    <n v="12"/>
    <s v="Q4"/>
  </r>
  <r>
    <s v="INV2-0331"/>
    <d v="2020-05-16T00:00:00"/>
    <s v="Customer_241"/>
    <s v="CUST0399"/>
    <x v="4"/>
    <x v="2"/>
    <n v="28"/>
    <n v="7833"/>
    <n v="219324"/>
    <n v="43564"/>
    <n v="175760"/>
    <n v="175760"/>
    <x v="4"/>
    <x v="2"/>
    <s v="New Delhi"/>
    <s v="India"/>
    <x v="0"/>
    <n v="5"/>
    <s v="Q2"/>
  </r>
  <r>
    <s v="INV2-0332"/>
    <d v="2021-04-30T00:00:00"/>
    <s v="Customer_86"/>
    <s v="CUST0498"/>
    <x v="6"/>
    <x v="3"/>
    <n v="27"/>
    <n v="47767"/>
    <n v="1289709"/>
    <n v="240075"/>
    <n v="1049634"/>
    <n v="1049634"/>
    <x v="4"/>
    <x v="4"/>
    <s v="Udaipur"/>
    <s v="India"/>
    <x v="1"/>
    <n v="4"/>
    <s v="Q2"/>
  </r>
  <r>
    <s v="INV2-0333"/>
    <d v="2020-05-12T00:00:00"/>
    <s v="Customer_313"/>
    <s v="CUST0209"/>
    <x v="0"/>
    <x v="0"/>
    <n v="2"/>
    <n v="59722"/>
    <n v="119444"/>
    <n v="7638"/>
    <n v="111806"/>
    <n v="111806"/>
    <x v="0"/>
    <x v="5"/>
    <s v="Ahmedabad"/>
    <s v="India"/>
    <x v="0"/>
    <n v="5"/>
    <s v="Q2"/>
  </r>
  <r>
    <s v="INV2-0334"/>
    <d v="2023-07-05T00:00:00"/>
    <s v="Customer_372"/>
    <s v="CUST0415"/>
    <x v="5"/>
    <x v="0"/>
    <n v="7"/>
    <n v="12914"/>
    <n v="90398"/>
    <n v="9791"/>
    <n v="80607"/>
    <n v="80607"/>
    <x v="0"/>
    <x v="4"/>
    <s v="Jaipur"/>
    <s v="India"/>
    <x v="5"/>
    <n v="7"/>
    <s v="Q3"/>
  </r>
  <r>
    <s v="INV2-0335"/>
    <d v="2020-03-08T00:00:00"/>
    <s v="Customer_284"/>
    <s v="CUST0289"/>
    <x v="2"/>
    <x v="2"/>
    <n v="5"/>
    <n v="24087"/>
    <n v="120435"/>
    <n v="11197"/>
    <n v="109238"/>
    <n v="109238"/>
    <x v="2"/>
    <x v="2"/>
    <s v="New Delhi"/>
    <s v="India"/>
    <x v="0"/>
    <n v="3"/>
    <s v="Q1"/>
  </r>
  <r>
    <s v="INV2-0336"/>
    <d v="2022-04-09T00:00:00"/>
    <s v="Customer_459"/>
    <s v="CUST0239"/>
    <x v="7"/>
    <x v="3"/>
    <n v="24"/>
    <n v="10600"/>
    <n v="254400"/>
    <n v="6646"/>
    <n v="247754"/>
    <n v="247754"/>
    <x v="2"/>
    <x v="5"/>
    <s v="Surat"/>
    <s v="India"/>
    <x v="4"/>
    <n v="4"/>
    <s v="Q2"/>
  </r>
  <r>
    <s v="INV2-0337"/>
    <d v="2020-12-30T00:00:00"/>
    <s v="Customer_378"/>
    <s v="CUST0181"/>
    <x v="4"/>
    <x v="2"/>
    <n v="22"/>
    <n v="53961"/>
    <n v="1187142"/>
    <n v="75920"/>
    <n v="1111222"/>
    <n v="1111222"/>
    <x v="1"/>
    <x v="5"/>
    <s v="Ahmedabad"/>
    <s v="India"/>
    <x v="0"/>
    <n v="12"/>
    <s v="Q4"/>
  </r>
  <r>
    <s v="INV2-0338"/>
    <d v="2021-02-12T00:00:00"/>
    <s v="Customer_241"/>
    <s v="CUST0456"/>
    <x v="7"/>
    <x v="3"/>
    <n v="21"/>
    <n v="33251"/>
    <n v="698271"/>
    <n v="18683"/>
    <n v="679588"/>
    <n v="679588"/>
    <x v="2"/>
    <x v="1"/>
    <s v="Mumbai"/>
    <s v="India"/>
    <x v="1"/>
    <n v="2"/>
    <s v="Q1"/>
  </r>
  <r>
    <s v="INV2-0339"/>
    <d v="2023-05-02T00:00:00"/>
    <s v="Customer_153"/>
    <s v="CUST0339"/>
    <x v="4"/>
    <x v="2"/>
    <n v="28"/>
    <n v="15444"/>
    <n v="432432"/>
    <n v="17280"/>
    <n v="415152"/>
    <n v="415152"/>
    <x v="1"/>
    <x v="3"/>
    <s v="Bangalore"/>
    <s v="India"/>
    <x v="5"/>
    <n v="5"/>
    <s v="Q2"/>
  </r>
  <r>
    <s v="INV2-0340"/>
    <d v="2020-07-30T00:00:00"/>
    <s v="Customer_208"/>
    <s v="CUST0119"/>
    <x v="5"/>
    <x v="0"/>
    <n v="18"/>
    <n v="58483"/>
    <n v="1052694"/>
    <n v="69735"/>
    <n v="982959"/>
    <n v="982959"/>
    <x v="4"/>
    <x v="3"/>
    <s v="Bangalore"/>
    <s v="India"/>
    <x v="0"/>
    <n v="7"/>
    <s v="Q3"/>
  </r>
  <r>
    <s v="INV2-0341"/>
    <d v="2019-05-20T00:00:00"/>
    <s v="Customer_304"/>
    <s v="CUST0016"/>
    <x v="1"/>
    <x v="1"/>
    <n v="29"/>
    <n v="31428"/>
    <n v="911412"/>
    <n v="51277"/>
    <n v="860135"/>
    <n v="860135"/>
    <x v="1"/>
    <x v="1"/>
    <s v="Nagpur"/>
    <s v="India"/>
    <x v="2"/>
    <n v="5"/>
    <s v="Q2"/>
  </r>
  <r>
    <s v="INV2-0342"/>
    <d v="2022-10-27T00:00:00"/>
    <s v="Customer_233"/>
    <s v="CUST0152"/>
    <x v="3"/>
    <x v="1"/>
    <n v="7"/>
    <n v="46078"/>
    <n v="322546"/>
    <n v="44694"/>
    <n v="277852"/>
    <n v="277852"/>
    <x v="2"/>
    <x v="2"/>
    <s v="New Delhi"/>
    <s v="India"/>
    <x v="4"/>
    <n v="10"/>
    <s v="Q4"/>
  </r>
  <r>
    <s v="INV2-0343"/>
    <d v="2023-11-25T00:00:00"/>
    <s v="Customer_18"/>
    <s v="CUST0482"/>
    <x v="3"/>
    <x v="1"/>
    <n v="20"/>
    <n v="3778"/>
    <n v="75560"/>
    <n v="6973"/>
    <n v="68587"/>
    <n v="68587"/>
    <x v="5"/>
    <x v="4"/>
    <s v="Jaipur"/>
    <s v="India"/>
    <x v="5"/>
    <n v="11"/>
    <s v="Q4"/>
  </r>
  <r>
    <s v="INV2-0344"/>
    <d v="2023-02-04T00:00:00"/>
    <s v="Customer_234"/>
    <s v="CUST0094"/>
    <x v="1"/>
    <x v="1"/>
    <n v="17"/>
    <n v="38282"/>
    <n v="650794"/>
    <n v="21947"/>
    <n v="628847"/>
    <n v="628847"/>
    <x v="2"/>
    <x v="4"/>
    <s v="Udaipur"/>
    <s v="India"/>
    <x v="5"/>
    <n v="2"/>
    <s v="Q1"/>
  </r>
  <r>
    <s v="INV2-0345"/>
    <d v="2025-01-06T00:00:00"/>
    <s v="Customer_82"/>
    <s v="CUST0138"/>
    <x v="6"/>
    <x v="3"/>
    <n v="17"/>
    <n v="35987"/>
    <n v="611779"/>
    <n v="67072"/>
    <n v="544707"/>
    <n v="544707"/>
    <x v="3"/>
    <x v="2"/>
    <s v="New Delhi"/>
    <s v="India"/>
    <x v="6"/>
    <n v="1"/>
    <s v="Q1"/>
  </r>
  <r>
    <s v="INV2-0346"/>
    <d v="2019-06-04T00:00:00"/>
    <s v="Customer_346"/>
    <s v="CUST0358"/>
    <x v="3"/>
    <x v="1"/>
    <n v="30"/>
    <n v="50004"/>
    <n v="1500120"/>
    <n v="246628"/>
    <n v="1253492"/>
    <n v="1253492"/>
    <x v="4"/>
    <x v="4"/>
    <s v="Jaipur"/>
    <s v="India"/>
    <x v="2"/>
    <n v="6"/>
    <s v="Q2"/>
  </r>
  <r>
    <s v="INV2-0347"/>
    <d v="2020-09-25T00:00:00"/>
    <s v="Customer_343"/>
    <s v="CUST0198"/>
    <x v="5"/>
    <x v="0"/>
    <n v="2"/>
    <n v="22560"/>
    <n v="45120"/>
    <n v="4336"/>
    <n v="40784"/>
    <n v="40784"/>
    <x v="5"/>
    <x v="1"/>
    <s v="Pune"/>
    <s v="India"/>
    <x v="0"/>
    <n v="9"/>
    <s v="Q3"/>
  </r>
  <r>
    <s v="INV2-0348"/>
    <d v="2022-01-16T00:00:00"/>
    <s v="Customer_470"/>
    <s v="CUST0335"/>
    <x v="6"/>
    <x v="3"/>
    <n v="9"/>
    <n v="56392"/>
    <n v="507528"/>
    <n v="83294"/>
    <n v="424234"/>
    <n v="424234"/>
    <x v="2"/>
    <x v="3"/>
    <s v="Mysore"/>
    <s v="India"/>
    <x v="4"/>
    <n v="1"/>
    <s v="Q1"/>
  </r>
  <r>
    <s v="INV2-0349"/>
    <d v="2019-05-26T00:00:00"/>
    <s v="Customer_465"/>
    <s v="CUST0119"/>
    <x v="4"/>
    <x v="2"/>
    <n v="29"/>
    <n v="6244"/>
    <n v="181076"/>
    <n v="1253"/>
    <n v="179823"/>
    <n v="179823"/>
    <x v="5"/>
    <x v="2"/>
    <s v="New Delhi"/>
    <s v="India"/>
    <x v="2"/>
    <n v="5"/>
    <s v="Q2"/>
  </r>
  <r>
    <s v="INV2-0350"/>
    <d v="2021-03-30T00:00:00"/>
    <s v="Customer_312"/>
    <s v="CUST0267"/>
    <x v="6"/>
    <x v="3"/>
    <n v="28"/>
    <n v="45388"/>
    <n v="1270864"/>
    <n v="12142"/>
    <n v="1258722"/>
    <n v="1258722"/>
    <x v="5"/>
    <x v="2"/>
    <s v="New Delhi"/>
    <s v="India"/>
    <x v="1"/>
    <n v="3"/>
    <s v="Q1"/>
  </r>
  <r>
    <s v="INV2-0351"/>
    <d v="2019-02-27T00:00:00"/>
    <s v="Customer_231"/>
    <s v="CUST0354"/>
    <x v="7"/>
    <x v="3"/>
    <n v="29"/>
    <n v="9345"/>
    <n v="271005"/>
    <n v="40116"/>
    <n v="230889"/>
    <n v="230889"/>
    <x v="5"/>
    <x v="1"/>
    <s v="Mumbai"/>
    <s v="India"/>
    <x v="2"/>
    <n v="2"/>
    <s v="Q1"/>
  </r>
  <r>
    <s v="INV2-0352"/>
    <d v="2020-07-29T00:00:00"/>
    <s v="Customer_15"/>
    <s v="CUST0292"/>
    <x v="2"/>
    <x v="2"/>
    <n v="8"/>
    <n v="29057"/>
    <n v="232456"/>
    <n v="11805"/>
    <n v="220651"/>
    <n v="220651"/>
    <x v="3"/>
    <x v="0"/>
    <s v="Chennai"/>
    <s v="India"/>
    <x v="0"/>
    <n v="7"/>
    <s v="Q3"/>
  </r>
  <r>
    <s v="INV2-0353"/>
    <d v="2021-03-28T00:00:00"/>
    <s v="Customer_119"/>
    <s v="CUST0348"/>
    <x v="0"/>
    <x v="0"/>
    <n v="20"/>
    <n v="1217"/>
    <n v="24340"/>
    <n v="2227"/>
    <n v="22113"/>
    <n v="22113"/>
    <x v="5"/>
    <x v="0"/>
    <s v="Chennai"/>
    <s v="India"/>
    <x v="1"/>
    <n v="3"/>
    <s v="Q1"/>
  </r>
  <r>
    <s v="INV2-0354"/>
    <d v="2024-09-22T00:00:00"/>
    <s v="Customer_447"/>
    <s v="CUST0444"/>
    <x v="3"/>
    <x v="1"/>
    <n v="1"/>
    <n v="2130"/>
    <n v="2130"/>
    <n v="208"/>
    <n v="1922"/>
    <n v="1922"/>
    <x v="1"/>
    <x v="4"/>
    <s v="Udaipur"/>
    <s v="India"/>
    <x v="3"/>
    <n v="9"/>
    <s v="Q3"/>
  </r>
  <r>
    <s v="INV2-0355"/>
    <d v="2023-12-07T00:00:00"/>
    <s v="Customer_116"/>
    <s v="CUST0298"/>
    <x v="5"/>
    <x v="0"/>
    <n v="24"/>
    <n v="30822"/>
    <n v="739728"/>
    <n v="110872"/>
    <n v="628856"/>
    <n v="628856"/>
    <x v="3"/>
    <x v="0"/>
    <s v="Coimbatore"/>
    <s v="India"/>
    <x v="5"/>
    <n v="12"/>
    <s v="Q4"/>
  </r>
  <r>
    <s v="INV2-0356"/>
    <d v="2022-10-20T00:00:00"/>
    <s v="Customer_484"/>
    <s v="CUST0154"/>
    <x v="6"/>
    <x v="3"/>
    <n v="25"/>
    <n v="58398"/>
    <n v="1459950"/>
    <n v="214285"/>
    <n v="1245665"/>
    <n v="1245665"/>
    <x v="2"/>
    <x v="4"/>
    <s v="Udaipur"/>
    <s v="India"/>
    <x v="4"/>
    <n v="10"/>
    <s v="Q4"/>
  </r>
  <r>
    <s v="INV2-0357"/>
    <d v="2021-12-17T00:00:00"/>
    <s v="Customer_297"/>
    <s v="CUST0374"/>
    <x v="0"/>
    <x v="0"/>
    <n v="24"/>
    <n v="1663"/>
    <n v="39912"/>
    <n v="7359"/>
    <n v="32553"/>
    <n v="32553"/>
    <x v="1"/>
    <x v="2"/>
    <s v="New Delhi"/>
    <s v="India"/>
    <x v="1"/>
    <n v="12"/>
    <s v="Q4"/>
  </r>
  <r>
    <s v="INV2-0358"/>
    <d v="2023-11-18T00:00:00"/>
    <s v="Customer_183"/>
    <s v="CUST0345"/>
    <x v="6"/>
    <x v="3"/>
    <n v="18"/>
    <n v="18187"/>
    <n v="327366"/>
    <n v="23579"/>
    <n v="303787"/>
    <n v="303787"/>
    <x v="2"/>
    <x v="5"/>
    <s v="Ahmedabad"/>
    <s v="India"/>
    <x v="5"/>
    <n v="11"/>
    <s v="Q4"/>
  </r>
  <r>
    <s v="INV2-0359"/>
    <d v="2019-12-20T00:00:00"/>
    <s v="Customer_247"/>
    <s v="CUST0085"/>
    <x v="7"/>
    <x v="3"/>
    <n v="29"/>
    <n v="45479"/>
    <n v="1318891"/>
    <n v="103422"/>
    <n v="1215469"/>
    <n v="1215469"/>
    <x v="4"/>
    <x v="3"/>
    <s v="Bangalore"/>
    <s v="India"/>
    <x v="2"/>
    <n v="12"/>
    <s v="Q4"/>
  </r>
  <r>
    <s v="INV2-0360"/>
    <d v="2020-02-15T00:00:00"/>
    <s v="Customer_285"/>
    <s v="CUST0154"/>
    <x v="7"/>
    <x v="3"/>
    <n v="8"/>
    <n v="2266"/>
    <n v="18128"/>
    <n v="3419"/>
    <n v="14709"/>
    <n v="14709"/>
    <x v="1"/>
    <x v="1"/>
    <s v="Mumbai"/>
    <s v="India"/>
    <x v="0"/>
    <n v="2"/>
    <s v="Q1"/>
  </r>
  <r>
    <s v="INV2-0361"/>
    <d v="2024-12-14T00:00:00"/>
    <s v="Customer_69"/>
    <s v="CUST0060"/>
    <x v="4"/>
    <x v="2"/>
    <n v="8"/>
    <n v="15258"/>
    <n v="122064"/>
    <n v="6795"/>
    <n v="115269"/>
    <n v="115269"/>
    <x v="1"/>
    <x v="2"/>
    <s v="New Delhi"/>
    <s v="India"/>
    <x v="3"/>
    <n v="12"/>
    <s v="Q4"/>
  </r>
  <r>
    <s v="INV2-0362"/>
    <d v="2024-12-17T00:00:00"/>
    <s v="Customer_324"/>
    <s v="CUST0149"/>
    <x v="7"/>
    <x v="3"/>
    <n v="12"/>
    <n v="26577"/>
    <n v="318924"/>
    <n v="18008"/>
    <n v="300916"/>
    <n v="300916"/>
    <x v="3"/>
    <x v="4"/>
    <s v="Udaipur"/>
    <s v="India"/>
    <x v="3"/>
    <n v="12"/>
    <s v="Q4"/>
  </r>
  <r>
    <s v="INV2-0363"/>
    <d v="2019-06-03T00:00:00"/>
    <s v="Customer_481"/>
    <s v="CUST0113"/>
    <x v="7"/>
    <x v="3"/>
    <n v="27"/>
    <n v="27060"/>
    <n v="730620"/>
    <n v="85994"/>
    <n v="644626"/>
    <n v="644626"/>
    <x v="3"/>
    <x v="3"/>
    <s v="Mysore"/>
    <s v="India"/>
    <x v="2"/>
    <n v="6"/>
    <s v="Q2"/>
  </r>
  <r>
    <s v="INV2-0364"/>
    <d v="2019-03-19T00:00:00"/>
    <s v="Customer_38"/>
    <s v="CUST0298"/>
    <x v="4"/>
    <x v="2"/>
    <n v="9"/>
    <n v="27381"/>
    <n v="246429"/>
    <n v="16213"/>
    <n v="230216"/>
    <n v="230216"/>
    <x v="5"/>
    <x v="2"/>
    <s v="New Delhi"/>
    <s v="India"/>
    <x v="2"/>
    <n v="3"/>
    <s v="Q1"/>
  </r>
  <r>
    <s v="INV2-0365"/>
    <d v="2021-10-27T00:00:00"/>
    <s v="Customer_161"/>
    <s v="CUST0084"/>
    <x v="3"/>
    <x v="1"/>
    <n v="21"/>
    <n v="12989"/>
    <n v="272769"/>
    <n v="25019"/>
    <n v="247750"/>
    <n v="247750"/>
    <x v="2"/>
    <x v="4"/>
    <s v="Udaipur"/>
    <s v="India"/>
    <x v="1"/>
    <n v="10"/>
    <s v="Q4"/>
  </r>
  <r>
    <s v="INV2-0366"/>
    <d v="2019-10-14T00:00:00"/>
    <s v="Customer_97"/>
    <s v="CUST0119"/>
    <x v="3"/>
    <x v="1"/>
    <n v="18"/>
    <n v="44480"/>
    <n v="800640"/>
    <n v="25730"/>
    <n v="774910"/>
    <n v="774910"/>
    <x v="4"/>
    <x v="0"/>
    <s v="Coimbatore"/>
    <s v="India"/>
    <x v="2"/>
    <n v="10"/>
    <s v="Q4"/>
  </r>
  <r>
    <s v="INV2-0367"/>
    <d v="2023-09-02T00:00:00"/>
    <s v="Customer_19"/>
    <s v="CUST0146"/>
    <x v="6"/>
    <x v="3"/>
    <n v="20"/>
    <n v="42391"/>
    <n v="847820"/>
    <n v="2073"/>
    <n v="845747"/>
    <n v="845747"/>
    <x v="0"/>
    <x v="1"/>
    <s v="Mumbai"/>
    <s v="India"/>
    <x v="5"/>
    <n v="9"/>
    <s v="Q3"/>
  </r>
  <r>
    <s v="INV2-0368"/>
    <d v="2023-06-05T00:00:00"/>
    <s v="Customer_194"/>
    <s v="CUST0451"/>
    <x v="1"/>
    <x v="1"/>
    <n v="6"/>
    <n v="35031"/>
    <n v="210186"/>
    <n v="37113"/>
    <n v="173073"/>
    <n v="173073"/>
    <x v="4"/>
    <x v="2"/>
    <s v="New Delhi"/>
    <s v="India"/>
    <x v="5"/>
    <n v="6"/>
    <s v="Q2"/>
  </r>
  <r>
    <s v="INV2-0369"/>
    <d v="2023-06-14T00:00:00"/>
    <s v="Customer_158"/>
    <s v="CUST0070"/>
    <x v="5"/>
    <x v="0"/>
    <n v="22"/>
    <n v="41197"/>
    <n v="906334"/>
    <n v="105173"/>
    <n v="801161"/>
    <n v="801161"/>
    <x v="0"/>
    <x v="4"/>
    <s v="Jaipur"/>
    <s v="India"/>
    <x v="5"/>
    <n v="6"/>
    <s v="Q2"/>
  </r>
  <r>
    <s v="INV2-0370"/>
    <d v="2021-04-28T00:00:00"/>
    <s v="Customer_429"/>
    <s v="CUST0374"/>
    <x v="1"/>
    <x v="1"/>
    <n v="4"/>
    <n v="29723"/>
    <n v="118892"/>
    <n v="10602"/>
    <n v="108290"/>
    <n v="108290"/>
    <x v="0"/>
    <x v="0"/>
    <s v="Coimbatore"/>
    <s v="India"/>
    <x v="1"/>
    <n v="4"/>
    <s v="Q2"/>
  </r>
  <r>
    <s v="INV2-0371"/>
    <d v="2019-12-12T00:00:00"/>
    <s v="Customer_366"/>
    <s v="CUST0380"/>
    <x v="4"/>
    <x v="2"/>
    <n v="30"/>
    <n v="45832"/>
    <n v="1374960"/>
    <n v="37808"/>
    <n v="1337152"/>
    <n v="1337152"/>
    <x v="0"/>
    <x v="0"/>
    <s v="Chennai"/>
    <s v="India"/>
    <x v="2"/>
    <n v="12"/>
    <s v="Q4"/>
  </r>
  <r>
    <s v="INV2-0372"/>
    <d v="2024-09-13T00:00:00"/>
    <s v="Customer_184"/>
    <s v="CUST0484"/>
    <x v="1"/>
    <x v="1"/>
    <n v="5"/>
    <n v="3365"/>
    <n v="16825"/>
    <n v="1665"/>
    <n v="15160"/>
    <n v="15160"/>
    <x v="4"/>
    <x v="5"/>
    <s v="Ahmedabad"/>
    <s v="India"/>
    <x v="3"/>
    <n v="9"/>
    <s v="Q3"/>
  </r>
  <r>
    <s v="INV2-0373"/>
    <d v="2023-12-20T00:00:00"/>
    <s v="Customer_291"/>
    <s v="CUST0273"/>
    <x v="7"/>
    <x v="3"/>
    <n v="29"/>
    <n v="59243"/>
    <n v="1718047"/>
    <n v="300327"/>
    <n v="1417720"/>
    <n v="1417720"/>
    <x v="0"/>
    <x v="1"/>
    <s v="Pune"/>
    <s v="India"/>
    <x v="5"/>
    <n v="12"/>
    <s v="Q4"/>
  </r>
  <r>
    <s v="INV2-0374"/>
    <d v="2021-12-04T00:00:00"/>
    <s v="Customer_148"/>
    <s v="CUST0009"/>
    <x v="0"/>
    <x v="0"/>
    <n v="18"/>
    <n v="58073"/>
    <n v="1045314"/>
    <n v="169636"/>
    <n v="875678"/>
    <n v="875678"/>
    <x v="4"/>
    <x v="3"/>
    <s v="Mysore"/>
    <s v="India"/>
    <x v="1"/>
    <n v="12"/>
    <s v="Q4"/>
  </r>
  <r>
    <s v="INV2-0375"/>
    <d v="2022-10-21T00:00:00"/>
    <s v="Customer_241"/>
    <s v="CUST0239"/>
    <x v="2"/>
    <x v="2"/>
    <n v="8"/>
    <n v="29559"/>
    <n v="236472"/>
    <n v="10250"/>
    <n v="226222"/>
    <n v="226222"/>
    <x v="4"/>
    <x v="2"/>
    <s v="New Delhi"/>
    <s v="India"/>
    <x v="4"/>
    <n v="10"/>
    <s v="Q4"/>
  </r>
  <r>
    <s v="INV2-0376"/>
    <d v="2019-03-18T00:00:00"/>
    <s v="Customer_128"/>
    <s v="CUST0068"/>
    <x v="1"/>
    <x v="1"/>
    <n v="12"/>
    <n v="17097"/>
    <n v="205164"/>
    <n v="11476"/>
    <n v="193688"/>
    <n v="193688"/>
    <x v="0"/>
    <x v="0"/>
    <s v="Chennai"/>
    <s v="India"/>
    <x v="2"/>
    <n v="3"/>
    <s v="Q1"/>
  </r>
  <r>
    <s v="INV2-0377"/>
    <d v="2023-07-23T00:00:00"/>
    <s v="Customer_147"/>
    <s v="CUST0414"/>
    <x v="2"/>
    <x v="2"/>
    <n v="10"/>
    <n v="50297"/>
    <n v="502970"/>
    <n v="64457"/>
    <n v="438513"/>
    <n v="438513"/>
    <x v="0"/>
    <x v="1"/>
    <s v="Mumbai"/>
    <s v="India"/>
    <x v="5"/>
    <n v="7"/>
    <s v="Q3"/>
  </r>
  <r>
    <s v="INV2-0378"/>
    <d v="2019-07-15T00:00:00"/>
    <s v="Customer_224"/>
    <s v="CUST0351"/>
    <x v="2"/>
    <x v="2"/>
    <n v="5"/>
    <n v="11350"/>
    <n v="56750"/>
    <n v="11213"/>
    <n v="45537"/>
    <n v="45537"/>
    <x v="1"/>
    <x v="0"/>
    <s v="Coimbatore"/>
    <s v="India"/>
    <x v="2"/>
    <n v="7"/>
    <s v="Q3"/>
  </r>
  <r>
    <s v="INV2-0379"/>
    <d v="2022-01-15T00:00:00"/>
    <s v="Customer_295"/>
    <s v="CUST0334"/>
    <x v="5"/>
    <x v="0"/>
    <n v="16"/>
    <n v="42862"/>
    <n v="685792"/>
    <n v="131127"/>
    <n v="554665"/>
    <n v="554665"/>
    <x v="3"/>
    <x v="5"/>
    <s v="Ahmedabad"/>
    <s v="India"/>
    <x v="4"/>
    <n v="1"/>
    <s v="Q1"/>
  </r>
  <r>
    <s v="INV2-0380"/>
    <d v="2020-05-08T00:00:00"/>
    <s v="Customer_238"/>
    <s v="CUST0179"/>
    <x v="2"/>
    <x v="2"/>
    <n v="22"/>
    <n v="41811"/>
    <n v="919842"/>
    <n v="72409"/>
    <n v="847433"/>
    <n v="847433"/>
    <x v="5"/>
    <x v="5"/>
    <s v="Surat"/>
    <s v="India"/>
    <x v="0"/>
    <n v="5"/>
    <s v="Q2"/>
  </r>
  <r>
    <s v="INV2-0381"/>
    <d v="2022-01-22T00:00:00"/>
    <s v="Customer_57"/>
    <s v="CUST0258"/>
    <x v="5"/>
    <x v="0"/>
    <n v="7"/>
    <n v="51374"/>
    <n v="359618"/>
    <n v="39847"/>
    <n v="319771"/>
    <n v="319771"/>
    <x v="2"/>
    <x v="4"/>
    <s v="Udaipur"/>
    <s v="India"/>
    <x v="4"/>
    <n v="1"/>
    <s v="Q1"/>
  </r>
  <r>
    <s v="INV2-0382"/>
    <d v="2024-05-24T00:00:00"/>
    <s v="Customer_400"/>
    <s v="CUST0065"/>
    <x v="4"/>
    <x v="2"/>
    <n v="30"/>
    <n v="24019"/>
    <n v="720570"/>
    <n v="80210"/>
    <n v="640360"/>
    <n v="640360"/>
    <x v="2"/>
    <x v="1"/>
    <s v="Pune"/>
    <s v="India"/>
    <x v="3"/>
    <n v="5"/>
    <s v="Q2"/>
  </r>
  <r>
    <s v="INV2-0383"/>
    <d v="2023-05-04T00:00:00"/>
    <s v="Customer_13"/>
    <s v="CUST0362"/>
    <x v="3"/>
    <x v="1"/>
    <n v="23"/>
    <n v="35452"/>
    <n v="815396"/>
    <n v="85575"/>
    <n v="729821"/>
    <n v="729821"/>
    <x v="3"/>
    <x v="0"/>
    <s v="Chennai"/>
    <s v="India"/>
    <x v="5"/>
    <n v="5"/>
    <s v="Q2"/>
  </r>
  <r>
    <s v="INV2-0384"/>
    <d v="2020-12-18T00:00:00"/>
    <s v="Customer_356"/>
    <s v="CUST0338"/>
    <x v="6"/>
    <x v="3"/>
    <n v="10"/>
    <n v="751"/>
    <n v="7510"/>
    <n v="693"/>
    <n v="6817"/>
    <n v="6817"/>
    <x v="5"/>
    <x v="5"/>
    <s v="Surat"/>
    <s v="India"/>
    <x v="0"/>
    <n v="12"/>
    <s v="Q4"/>
  </r>
  <r>
    <s v="INV2-0385"/>
    <d v="2021-11-06T00:00:00"/>
    <s v="Customer_259"/>
    <s v="CUST0330"/>
    <x v="7"/>
    <x v="3"/>
    <n v="3"/>
    <n v="15148"/>
    <n v="45444"/>
    <n v="8933"/>
    <n v="36511"/>
    <n v="36511"/>
    <x v="5"/>
    <x v="4"/>
    <s v="Jaipur"/>
    <s v="India"/>
    <x v="1"/>
    <n v="11"/>
    <s v="Q4"/>
  </r>
  <r>
    <s v="INV2-0386"/>
    <d v="2020-01-03T00:00:00"/>
    <s v="Customer_444"/>
    <s v="CUST0378"/>
    <x v="7"/>
    <x v="3"/>
    <n v="21"/>
    <n v="6525"/>
    <n v="137025"/>
    <n v="7067"/>
    <n v="129958"/>
    <n v="129958"/>
    <x v="0"/>
    <x v="4"/>
    <s v="Jaipur"/>
    <s v="India"/>
    <x v="0"/>
    <n v="1"/>
    <s v="Q1"/>
  </r>
  <r>
    <s v="INV2-0387"/>
    <d v="2021-05-02T00:00:00"/>
    <s v="Customer_358"/>
    <s v="CUST0448"/>
    <x v="4"/>
    <x v="2"/>
    <n v="2"/>
    <n v="47526"/>
    <n v="95052"/>
    <n v="13433"/>
    <n v="81619"/>
    <n v="81619"/>
    <x v="0"/>
    <x v="5"/>
    <s v="Surat"/>
    <s v="India"/>
    <x v="1"/>
    <n v="5"/>
    <s v="Q2"/>
  </r>
  <r>
    <s v="INV2-0388"/>
    <d v="2022-06-04T00:00:00"/>
    <s v="Customer_423"/>
    <s v="CUST0225"/>
    <x v="1"/>
    <x v="1"/>
    <n v="2"/>
    <n v="18348"/>
    <n v="36696"/>
    <n v="6029"/>
    <n v="30667"/>
    <n v="30667"/>
    <x v="4"/>
    <x v="2"/>
    <s v="New Delhi"/>
    <s v="India"/>
    <x v="4"/>
    <n v="6"/>
    <s v="Q2"/>
  </r>
  <r>
    <s v="INV2-0389"/>
    <d v="2024-04-18T00:00:00"/>
    <s v="Customer_442"/>
    <s v="CUST0187"/>
    <x v="5"/>
    <x v="0"/>
    <n v="3"/>
    <n v="47477"/>
    <n v="142431"/>
    <n v="24063"/>
    <n v="118368"/>
    <n v="118368"/>
    <x v="3"/>
    <x v="2"/>
    <s v="New Delhi"/>
    <s v="India"/>
    <x v="3"/>
    <n v="4"/>
    <s v="Q2"/>
  </r>
  <r>
    <s v="INV2-0390"/>
    <d v="2020-04-22T00:00:00"/>
    <s v="Customer_240"/>
    <s v="CUST0143"/>
    <x v="0"/>
    <x v="0"/>
    <n v="23"/>
    <n v="17503"/>
    <n v="402569"/>
    <n v="16592"/>
    <n v="385977"/>
    <n v="385977"/>
    <x v="5"/>
    <x v="5"/>
    <s v="Ahmedabad"/>
    <s v="India"/>
    <x v="0"/>
    <n v="4"/>
    <s v="Q2"/>
  </r>
  <r>
    <s v="INV2-0391"/>
    <d v="2021-07-22T00:00:00"/>
    <s v="Customer_51"/>
    <s v="CUST0240"/>
    <x v="3"/>
    <x v="1"/>
    <n v="4"/>
    <n v="18290"/>
    <n v="73160"/>
    <n v="99"/>
    <n v="73061"/>
    <n v="73061"/>
    <x v="2"/>
    <x v="4"/>
    <s v="Jaipur"/>
    <s v="India"/>
    <x v="1"/>
    <n v="7"/>
    <s v="Q3"/>
  </r>
  <r>
    <s v="INV2-0392"/>
    <d v="2024-07-01T00:00:00"/>
    <s v="Customer_29"/>
    <s v="CUST0071"/>
    <x v="4"/>
    <x v="2"/>
    <n v="14"/>
    <n v="54539"/>
    <n v="763546"/>
    <n v="58219"/>
    <n v="705327"/>
    <n v="705327"/>
    <x v="1"/>
    <x v="3"/>
    <s v="Mysore"/>
    <s v="India"/>
    <x v="3"/>
    <n v="7"/>
    <s v="Q3"/>
  </r>
  <r>
    <s v="INV2-0393"/>
    <d v="2020-04-04T00:00:00"/>
    <s v="Customer_476"/>
    <s v="CUST0492"/>
    <x v="1"/>
    <x v="1"/>
    <n v="2"/>
    <n v="26469"/>
    <n v="52938"/>
    <n v="5513"/>
    <n v="47425"/>
    <n v="47425"/>
    <x v="1"/>
    <x v="4"/>
    <s v="Jaipur"/>
    <s v="India"/>
    <x v="0"/>
    <n v="4"/>
    <s v="Q2"/>
  </r>
  <r>
    <s v="INV2-0394"/>
    <d v="2022-08-25T00:00:00"/>
    <s v="Customer_387"/>
    <s v="CUST0022"/>
    <x v="2"/>
    <x v="2"/>
    <n v="17"/>
    <n v="19361"/>
    <n v="329137"/>
    <n v="33878"/>
    <n v="295259"/>
    <n v="295259"/>
    <x v="4"/>
    <x v="1"/>
    <s v="Mumbai"/>
    <s v="India"/>
    <x v="4"/>
    <n v="8"/>
    <s v="Q3"/>
  </r>
  <r>
    <s v="INV2-0395"/>
    <d v="2022-05-03T00:00:00"/>
    <s v="Customer_40"/>
    <s v="CUST0124"/>
    <x v="3"/>
    <x v="1"/>
    <n v="3"/>
    <n v="19983"/>
    <n v="59949"/>
    <n v="10336"/>
    <n v="49613"/>
    <n v="49613"/>
    <x v="5"/>
    <x v="0"/>
    <s v="Chennai"/>
    <s v="India"/>
    <x v="4"/>
    <n v="5"/>
    <s v="Q2"/>
  </r>
  <r>
    <s v="INV2-0396"/>
    <d v="2020-05-11T00:00:00"/>
    <s v="Customer_280"/>
    <s v="CUST0224"/>
    <x v="0"/>
    <x v="0"/>
    <n v="24"/>
    <n v="20334"/>
    <n v="488016"/>
    <n v="14862"/>
    <n v="473154"/>
    <n v="473154"/>
    <x v="1"/>
    <x v="0"/>
    <s v="Coimbatore"/>
    <s v="India"/>
    <x v="0"/>
    <n v="5"/>
    <s v="Q2"/>
  </r>
  <r>
    <s v="INV2-0397"/>
    <d v="2019-12-25T00:00:00"/>
    <s v="Customer_466"/>
    <s v="CUST0243"/>
    <x v="4"/>
    <x v="2"/>
    <n v="9"/>
    <n v="44119"/>
    <n v="397071"/>
    <n v="75489"/>
    <n v="321582"/>
    <n v="321582"/>
    <x v="3"/>
    <x v="1"/>
    <s v="Mumbai"/>
    <s v="India"/>
    <x v="2"/>
    <n v="12"/>
    <s v="Q4"/>
  </r>
  <r>
    <s v="INV2-0398"/>
    <d v="2022-04-12T00:00:00"/>
    <s v="Customer_390"/>
    <s v="CUST0451"/>
    <x v="3"/>
    <x v="1"/>
    <n v="19"/>
    <n v="35254"/>
    <n v="669826"/>
    <n v="66388"/>
    <n v="603438"/>
    <n v="603438"/>
    <x v="0"/>
    <x v="1"/>
    <s v="Mumbai"/>
    <s v="India"/>
    <x v="4"/>
    <n v="4"/>
    <s v="Q2"/>
  </r>
  <r>
    <s v="INV2-0399"/>
    <d v="2024-04-04T00:00:00"/>
    <s v="Customer_317"/>
    <s v="CUST0169"/>
    <x v="3"/>
    <x v="1"/>
    <n v="19"/>
    <n v="923"/>
    <n v="17537"/>
    <n v="668"/>
    <n v="16869"/>
    <n v="16869"/>
    <x v="5"/>
    <x v="5"/>
    <s v="Ahmedabad"/>
    <s v="India"/>
    <x v="3"/>
    <n v="4"/>
    <s v="Q2"/>
  </r>
  <r>
    <s v="INV2-0400"/>
    <d v="2021-10-07T00:00:00"/>
    <s v="Customer_292"/>
    <s v="CUST0055"/>
    <x v="5"/>
    <x v="0"/>
    <n v="19"/>
    <n v="11727"/>
    <n v="222813"/>
    <n v="34773"/>
    <n v="188040"/>
    <n v="188040"/>
    <x v="4"/>
    <x v="2"/>
    <s v="New Delhi"/>
    <s v="India"/>
    <x v="1"/>
    <n v="10"/>
    <s v="Q4"/>
  </r>
  <r>
    <m/>
    <m/>
    <m/>
    <m/>
    <x v="8"/>
    <x v="4"/>
    <m/>
    <m/>
    <m/>
    <m/>
    <m/>
    <m/>
    <x v="6"/>
    <x v="6"/>
    <m/>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F95D9-433D-432F-8030-26CF2BA33A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D33" firstHeaderRow="0" firstDataRow="1" firstDataCol="1"/>
  <pivotFields count="19">
    <pivotField showAll="0"/>
    <pivotField showAll="0"/>
    <pivotField showAll="0"/>
    <pivotField showAll="0"/>
    <pivotField showAll="0"/>
    <pivotField axis="axisRow" showAll="0">
      <items count="6">
        <item x="0"/>
        <item x="2"/>
        <item x="1"/>
        <item x="3"/>
        <item h="1" x="4"/>
        <item t="default"/>
      </items>
    </pivotField>
    <pivotField dataField="1" showAll="0"/>
    <pivotField showAll="0"/>
    <pivotField dataField="1" showAll="0"/>
    <pivotField showAll="0"/>
    <pivotField dataField="1" showAll="0"/>
    <pivotField showAll="0"/>
    <pivotField showAll="0"/>
    <pivotField showAll="0"/>
    <pivotField showAll="0"/>
    <pivotField showAll="0"/>
    <pivotField showAll="0">
      <items count="9">
        <item x="2"/>
        <item x="0"/>
        <item x="1"/>
        <item x="4"/>
        <item x="5"/>
        <item x="3"/>
        <item x="6"/>
        <item x="7"/>
        <item t="default"/>
      </items>
    </pivotField>
    <pivotField showAll="0"/>
    <pivotField showAll="0"/>
  </pivotFields>
  <rowFields count="1">
    <field x="5"/>
  </rowFields>
  <rowItems count="5">
    <i>
      <x/>
    </i>
    <i>
      <x v="1"/>
    </i>
    <i>
      <x v="2"/>
    </i>
    <i>
      <x v="3"/>
    </i>
    <i t="grand">
      <x/>
    </i>
  </rowItems>
  <colFields count="1">
    <field x="-2"/>
  </colFields>
  <colItems count="3">
    <i>
      <x/>
    </i>
    <i i="1">
      <x v="1"/>
    </i>
    <i i="2">
      <x v="2"/>
    </i>
  </colItems>
  <dataFields count="3">
    <dataField name="Sum of Quantity" fld="6" baseField="0" baseItem="0"/>
    <dataField name="Sum of Gross Amount" fld="8" baseField="0" baseItem="0"/>
    <dataField name="Sum of Taxable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6A8DA9-93FA-43A4-81B5-32F7A71827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3" firstHeaderRow="0" firstDataRow="1" firstDataCol="1"/>
  <pivotFields count="19">
    <pivotField showAll="0"/>
    <pivotField showAll="0"/>
    <pivotField showAll="0"/>
    <pivotField showAll="0"/>
    <pivotField showAll="0"/>
    <pivotField axis="axisRow" showAll="0">
      <items count="6">
        <item x="0"/>
        <item x="2"/>
        <item x="1"/>
        <item x="3"/>
        <item h="1" x="4"/>
        <item t="default"/>
      </items>
    </pivotField>
    <pivotField dataField="1" showAll="0"/>
    <pivotField showAll="0"/>
    <pivotField dataField="1" showAll="0"/>
    <pivotField showAll="0"/>
    <pivotField dataField="1" showAll="0"/>
    <pivotField showAll="0"/>
    <pivotField showAll="0"/>
    <pivotField showAll="0"/>
    <pivotField showAll="0"/>
    <pivotField showAll="0"/>
    <pivotField showAll="0">
      <items count="9">
        <item x="2"/>
        <item x="0"/>
        <item x="1"/>
        <item x="4"/>
        <item x="5"/>
        <item x="3"/>
        <item x="6"/>
        <item x="7"/>
        <item t="default"/>
      </items>
    </pivotField>
    <pivotField showAll="0"/>
    <pivotField showAll="0"/>
  </pivotFields>
  <rowFields count="1">
    <field x="5"/>
  </rowFields>
  <rowItems count="5">
    <i>
      <x/>
    </i>
    <i>
      <x v="1"/>
    </i>
    <i>
      <x v="2"/>
    </i>
    <i>
      <x v="3"/>
    </i>
    <i t="grand">
      <x/>
    </i>
  </rowItems>
  <colFields count="1">
    <field x="-2"/>
  </colFields>
  <colItems count="3">
    <i>
      <x/>
    </i>
    <i i="1">
      <x v="1"/>
    </i>
    <i i="2">
      <x v="2"/>
    </i>
  </colItems>
  <dataFields count="3">
    <dataField name="Sum of Quantity" fld="6" baseField="0" baseItem="0"/>
    <dataField name="Sum of Gross Amount" fld="8" baseField="0" baseItem="0"/>
    <dataField name="Sum of Taxable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4845D1-B3BC-48FC-8E55-7B7A0F5C927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customListSort="0">
  <location ref="A3:B7" firstHeaderRow="1" firstDataRow="1" firstDataCol="1"/>
  <pivotFields count="19">
    <pivotField showAll="0"/>
    <pivotField showAll="0"/>
    <pivotField showAll="0"/>
    <pivotField showAll="0"/>
    <pivotField showAll="0"/>
    <pivotField axis="axisRow" showAll="0">
      <items count="6">
        <item x="0"/>
        <item x="2"/>
        <item x="1"/>
        <item x="3"/>
        <item h="1" x="4"/>
        <item t="default"/>
      </items>
    </pivotField>
    <pivotField showAll="0"/>
    <pivotField showAll="0"/>
    <pivotField showAll="0"/>
    <pivotField showAll="0"/>
    <pivotField showAll="0"/>
    <pivotField dataField="1" showAll="0"/>
    <pivotField showAll="0"/>
    <pivotField showAll="0"/>
    <pivotField showAll="0"/>
    <pivotField showAll="0"/>
    <pivotField showAll="0">
      <items count="9">
        <item x="2"/>
        <item x="0"/>
        <item x="1"/>
        <item x="4"/>
        <item x="5"/>
        <item x="3"/>
        <item x="6"/>
        <item x="7"/>
        <item t="default"/>
      </items>
    </pivotField>
    <pivotField showAll="0"/>
    <pivotField showAll="0"/>
  </pivotFields>
  <rowFields count="1">
    <field x="5"/>
  </rowFields>
  <rowItems count="4">
    <i>
      <x/>
    </i>
    <i>
      <x v="1"/>
    </i>
    <i>
      <x v="2"/>
    </i>
    <i>
      <x v="3"/>
    </i>
  </rowItems>
  <colItems count="1">
    <i/>
  </colItems>
  <dataFields count="1">
    <dataField name="Sum of Net Amount"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471B7-6358-497E-B961-57C5450DC2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2"/>
        <item x="5"/>
        <item x="3"/>
        <item x="1"/>
        <item x="4"/>
        <item x="0"/>
        <item h="1" x="6"/>
        <item t="default"/>
      </items>
    </pivotField>
    <pivotField showAll="0"/>
    <pivotField showAll="0"/>
    <pivotField showAll="0">
      <items count="9">
        <item x="2"/>
        <item x="0"/>
        <item x="1"/>
        <item x="4"/>
        <item x="5"/>
        <item x="3"/>
        <item x="6"/>
        <item x="7"/>
        <item t="default"/>
      </items>
    </pivotField>
    <pivotField showAll="0"/>
    <pivotField showAll="0"/>
  </pivotFields>
  <rowFields count="1">
    <field x="13"/>
  </rowFields>
  <rowItems count="7">
    <i>
      <x/>
    </i>
    <i>
      <x v="1"/>
    </i>
    <i>
      <x v="2"/>
    </i>
    <i>
      <x v="3"/>
    </i>
    <i>
      <x v="4"/>
    </i>
    <i>
      <x v="5"/>
    </i>
    <i t="grand">
      <x/>
    </i>
  </rowItems>
  <colItems count="1">
    <i/>
  </colItems>
  <dataFields count="1">
    <dataField name="Sum of Net Amount"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2DD5CA-EC87-49CD-94FA-F996A8FBEA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8">
        <item x="1"/>
        <item x="4"/>
        <item x="0"/>
        <item x="2"/>
        <item x="5"/>
        <item x="3"/>
        <item h="1" x="6"/>
        <item t="default"/>
      </items>
    </pivotField>
    <pivotField showAll="0"/>
    <pivotField showAll="0"/>
    <pivotField showAll="0"/>
    <pivotField showAll="0">
      <items count="9">
        <item x="2"/>
        <item x="0"/>
        <item x="1"/>
        <item x="4"/>
        <item x="5"/>
        <item x="3"/>
        <item x="6"/>
        <item x="7"/>
        <item t="default"/>
      </items>
    </pivotField>
    <pivotField showAll="0"/>
    <pivotField showAll="0"/>
  </pivotFields>
  <rowFields count="1">
    <field x="12"/>
  </rowFields>
  <rowItems count="7">
    <i>
      <x/>
    </i>
    <i>
      <x v="1"/>
    </i>
    <i>
      <x v="2"/>
    </i>
    <i>
      <x v="3"/>
    </i>
    <i>
      <x v="4"/>
    </i>
    <i>
      <x v="5"/>
    </i>
    <i t="grand">
      <x/>
    </i>
  </rowItems>
  <colItems count="1">
    <i/>
  </colItems>
  <dataFields count="1">
    <dataField name="Sum of Net Amount" fld="1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37897E-5526-483F-9AA4-EB8F45E842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9">
        <item x="2"/>
        <item x="0"/>
        <item x="1"/>
        <item x="4"/>
        <item x="5"/>
        <item x="3"/>
        <item x="6"/>
        <item x="7"/>
        <item t="default"/>
      </items>
    </pivotField>
    <pivotField showAll="0"/>
    <pivotField showAll="0"/>
  </pivotFields>
  <rowFields count="1">
    <field x="16"/>
  </rowFields>
  <rowItems count="9">
    <i>
      <x/>
    </i>
    <i>
      <x v="1"/>
    </i>
    <i>
      <x v="2"/>
    </i>
    <i>
      <x v="3"/>
    </i>
    <i>
      <x v="4"/>
    </i>
    <i>
      <x v="5"/>
    </i>
    <i>
      <x v="6"/>
    </i>
    <i>
      <x v="7"/>
    </i>
    <i t="grand">
      <x/>
    </i>
  </rowItems>
  <colItems count="1">
    <i/>
  </colItems>
  <dataFields count="1">
    <dataField name="Sum of Net Amount" fld="1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9BA2D1-2CA5-4D7D-8784-1169F3E9D9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C12" firstHeaderRow="0" firstDataRow="1" firstDataCol="1"/>
  <pivotFields count="19">
    <pivotField showAll="0"/>
    <pivotField showAll="0"/>
    <pivotField showAll="0"/>
    <pivotField showAll="0"/>
    <pivotField axis="axisRow" showAll="0">
      <items count="10">
        <item x="3"/>
        <item x="5"/>
        <item x="4"/>
        <item x="2"/>
        <item x="7"/>
        <item x="6"/>
        <item x="1"/>
        <item x="0"/>
        <item h="1" x="8"/>
        <item t="default"/>
      </items>
    </pivotField>
    <pivotField showAll="0"/>
    <pivotField dataField="1" showAll="0"/>
    <pivotField showAll="0"/>
    <pivotField showAll="0"/>
    <pivotField showAll="0"/>
    <pivotField showAll="0"/>
    <pivotField dataField="1" showAll="0"/>
    <pivotField showAll="0"/>
    <pivotField showAll="0"/>
    <pivotField showAll="0"/>
    <pivotField showAll="0"/>
    <pivotField showAll="0">
      <items count="9">
        <item x="2"/>
        <item x="0"/>
        <item x="1"/>
        <item x="4"/>
        <item x="5"/>
        <item x="3"/>
        <item x="6"/>
        <item x="7"/>
        <item t="default"/>
      </items>
    </pivotField>
    <pivotField showAll="0"/>
    <pivotField showAll="0"/>
  </pivotFields>
  <rowFields count="1">
    <field x="4"/>
  </rowFields>
  <rowItems count="9">
    <i>
      <x/>
    </i>
    <i>
      <x v="1"/>
    </i>
    <i>
      <x v="2"/>
    </i>
    <i>
      <x v="3"/>
    </i>
    <i>
      <x v="4"/>
    </i>
    <i>
      <x v="5"/>
    </i>
    <i>
      <x v="6"/>
    </i>
    <i>
      <x v="7"/>
    </i>
    <i t="grand">
      <x/>
    </i>
  </rowItems>
  <colFields count="1">
    <field x="-2"/>
  </colFields>
  <colItems count="2">
    <i>
      <x/>
    </i>
    <i i="1">
      <x v="1"/>
    </i>
  </colItems>
  <dataFields count="2">
    <dataField name="Sum of Quantity" fld="6" baseField="0" baseItem="0"/>
    <dataField name="Sum of Net Amount" fld="11"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D12BBD-ECEB-4B87-B6C2-1C2A7DFDDCCC}" sourceName="Year">
  <pivotTables>
    <pivotTable tabId="6" name="PivotTable5"/>
    <pivotTable tabId="2" name="PivotTable1"/>
    <pivotTable tabId="3" name="PivotTable2"/>
    <pivotTable tabId="4" name="PivotTable3"/>
    <pivotTable tabId="5" name="PivotTable4"/>
    <pivotTable tabId="2" name="PivotTable2"/>
    <pivotTable tabId="2" name="PivotTable4"/>
  </pivotTables>
  <data>
    <tabular pivotCacheId="1424236128">
      <items count="8">
        <i x="2" s="1"/>
        <i x="0" s="1"/>
        <i x="1" s="1"/>
        <i x="4" s="1"/>
        <i x="5" s="1"/>
        <i x="3" s="1"/>
        <i x="6"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9917209-9D2C-41D3-989B-5DA37341F663}" cache="Slicer_Year" caption="Year" columnCount="7" rowHeight="2413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F54C-BE5D-4412-8CBF-950942A2A234}">
  <dimension ref="A1:T28"/>
  <sheetViews>
    <sheetView showGridLines="0" tabSelected="1" workbookViewId="0">
      <selection activeCell="V6" sqref="V6"/>
    </sheetView>
  </sheetViews>
  <sheetFormatPr defaultRowHeight="14.5" x14ac:dyDescent="0.35"/>
  <cols>
    <col min="1" max="1" width="12.1796875" customWidth="1"/>
    <col min="2" max="2" width="11.7265625" customWidth="1"/>
    <col min="3" max="3" width="11.1796875" customWidth="1"/>
    <col min="4" max="4" width="13.36328125" customWidth="1"/>
    <col min="5" max="5" width="0.81640625" customWidth="1"/>
  </cols>
  <sheetData>
    <row r="1" spans="1:20" ht="26" x14ac:dyDescent="0.6">
      <c r="A1" s="13"/>
      <c r="B1" s="14"/>
      <c r="C1" s="14"/>
      <c r="D1" s="14"/>
      <c r="E1" s="5"/>
      <c r="F1" s="5"/>
      <c r="G1" s="5"/>
      <c r="H1" s="5"/>
      <c r="I1" s="5"/>
      <c r="J1" s="5"/>
      <c r="K1" s="5"/>
      <c r="L1" s="5"/>
      <c r="M1" s="5"/>
      <c r="N1" s="5"/>
      <c r="O1" s="5"/>
      <c r="P1" s="5"/>
      <c r="Q1" s="5"/>
      <c r="R1" s="5"/>
      <c r="S1" s="5"/>
      <c r="T1" s="5"/>
    </row>
    <row r="2" spans="1:20" ht="28" x14ac:dyDescent="0.65">
      <c r="A2" s="15"/>
      <c r="B2" s="14"/>
      <c r="C2" s="14"/>
      <c r="D2" s="14"/>
      <c r="E2" s="5"/>
      <c r="F2" s="5"/>
      <c r="G2" s="5"/>
      <c r="H2" s="5"/>
      <c r="I2" s="5"/>
      <c r="J2" s="5"/>
      <c r="K2" s="5"/>
      <c r="L2" s="5"/>
      <c r="M2" s="5"/>
      <c r="N2" s="5"/>
      <c r="O2" s="5"/>
      <c r="P2" s="5"/>
      <c r="Q2" s="5"/>
      <c r="R2" s="5"/>
      <c r="S2" s="5"/>
      <c r="T2" s="5"/>
    </row>
    <row r="3" spans="1:20" x14ac:dyDescent="0.35">
      <c r="A3" s="14"/>
      <c r="B3" s="14"/>
      <c r="C3" s="14"/>
      <c r="D3" s="14"/>
      <c r="E3" s="5"/>
      <c r="F3" s="5"/>
      <c r="G3" s="5"/>
      <c r="H3" s="5"/>
      <c r="I3" s="5"/>
      <c r="J3" s="5"/>
      <c r="K3" s="5"/>
      <c r="L3" s="5"/>
      <c r="M3" s="5"/>
      <c r="N3" s="5"/>
      <c r="O3" s="5"/>
      <c r="P3" s="5"/>
      <c r="Q3" s="5"/>
      <c r="R3" s="5"/>
      <c r="S3" s="5"/>
      <c r="T3" s="5"/>
    </row>
    <row r="4" spans="1:20" x14ac:dyDescent="0.35">
      <c r="A4" s="14"/>
      <c r="B4" s="14"/>
      <c r="C4" s="14"/>
      <c r="D4" s="14"/>
      <c r="E4" s="5"/>
      <c r="F4" s="5"/>
      <c r="G4" s="5"/>
      <c r="H4" s="5"/>
      <c r="I4" s="5"/>
      <c r="J4" s="5"/>
      <c r="K4" s="5"/>
      <c r="L4" s="5"/>
      <c r="M4" s="5"/>
      <c r="N4" s="5"/>
      <c r="O4" s="5"/>
      <c r="P4" s="5"/>
      <c r="Q4" s="5"/>
      <c r="R4" s="5"/>
      <c r="S4" s="5"/>
      <c r="T4" s="5"/>
    </row>
    <row r="5" spans="1:20" ht="43.5" x14ac:dyDescent="0.35">
      <c r="A5" s="11" t="s">
        <v>1018</v>
      </c>
      <c r="B5" s="11" t="s">
        <v>6</v>
      </c>
      <c r="C5" s="12" t="s">
        <v>1017</v>
      </c>
      <c r="D5" s="12" t="s">
        <v>1019</v>
      </c>
      <c r="E5" s="5"/>
      <c r="F5" s="5"/>
      <c r="G5" s="5"/>
      <c r="H5" s="5"/>
      <c r="I5" s="5"/>
      <c r="J5" s="5"/>
      <c r="K5" s="5"/>
      <c r="L5" s="5"/>
      <c r="M5" s="5"/>
      <c r="N5" s="5"/>
      <c r="O5" s="5"/>
      <c r="P5" s="5"/>
      <c r="Q5" s="5"/>
      <c r="R5" s="5"/>
      <c r="S5" s="5"/>
      <c r="T5" s="5"/>
    </row>
    <row r="6" spans="1:20" x14ac:dyDescent="0.35">
      <c r="A6" s="9" t="s">
        <v>23</v>
      </c>
      <c r="B6" s="9">
        <v>1748</v>
      </c>
      <c r="C6" s="10">
        <v>550.42147</v>
      </c>
      <c r="D6" s="10">
        <v>491.87364000000002</v>
      </c>
      <c r="E6" s="5"/>
      <c r="F6" s="5"/>
      <c r="G6" s="5"/>
      <c r="H6" s="5"/>
      <c r="I6" s="5"/>
      <c r="J6" s="5"/>
      <c r="K6" s="5"/>
      <c r="L6" s="5"/>
      <c r="M6" s="5"/>
      <c r="N6" s="5"/>
      <c r="O6" s="5"/>
      <c r="P6" s="5"/>
      <c r="Q6" s="5"/>
      <c r="R6" s="5"/>
      <c r="S6" s="5"/>
      <c r="T6" s="5"/>
    </row>
    <row r="7" spans="1:20" x14ac:dyDescent="0.35">
      <c r="A7" s="9" t="s">
        <v>46</v>
      </c>
      <c r="B7" s="9">
        <v>1244</v>
      </c>
      <c r="C7" s="10">
        <v>368.36185999999998</v>
      </c>
      <c r="D7" s="10">
        <v>332.38672000000003</v>
      </c>
      <c r="E7" s="5"/>
      <c r="F7" s="5"/>
      <c r="G7" s="5"/>
      <c r="H7" s="5"/>
      <c r="I7" s="5"/>
      <c r="J7" s="5"/>
      <c r="K7" s="5"/>
      <c r="L7" s="5"/>
      <c r="M7" s="5"/>
      <c r="N7" s="5"/>
      <c r="O7" s="5"/>
      <c r="P7" s="5"/>
      <c r="Q7" s="5"/>
      <c r="R7" s="5"/>
      <c r="S7" s="5"/>
      <c r="T7" s="5"/>
    </row>
    <row r="8" spans="1:20" x14ac:dyDescent="0.35">
      <c r="A8" s="9" t="s">
        <v>33</v>
      </c>
      <c r="B8" s="9">
        <v>1485</v>
      </c>
      <c r="C8" s="10">
        <v>422.64199000000002</v>
      </c>
      <c r="D8" s="10">
        <v>381.99831</v>
      </c>
      <c r="E8" s="5"/>
      <c r="F8" s="5"/>
      <c r="G8" s="5"/>
      <c r="H8" s="5"/>
      <c r="I8" s="5"/>
      <c r="J8" s="5"/>
      <c r="K8" s="5"/>
      <c r="L8" s="5"/>
      <c r="M8" s="5"/>
      <c r="N8" s="5"/>
      <c r="O8" s="5"/>
      <c r="P8" s="5"/>
      <c r="Q8" s="5"/>
      <c r="R8" s="5"/>
      <c r="S8" s="5"/>
      <c r="T8" s="5"/>
    </row>
    <row r="9" spans="1:20" x14ac:dyDescent="0.35">
      <c r="A9" s="9" t="s">
        <v>107</v>
      </c>
      <c r="B9" s="9">
        <v>1777</v>
      </c>
      <c r="C9" s="10">
        <v>504.98899</v>
      </c>
      <c r="D9" s="10">
        <v>458.86718999999999</v>
      </c>
      <c r="E9" s="5"/>
      <c r="F9" s="5"/>
      <c r="G9" s="5"/>
      <c r="H9" s="5"/>
      <c r="I9" s="5"/>
      <c r="J9" s="5"/>
      <c r="K9" s="5"/>
      <c r="L9" s="5"/>
      <c r="M9" s="5"/>
      <c r="N9" s="5"/>
      <c r="O9" s="5"/>
      <c r="P9" s="5"/>
      <c r="Q9" s="5"/>
      <c r="R9" s="5"/>
      <c r="S9" s="5"/>
      <c r="T9" s="5"/>
    </row>
    <row r="10" spans="1:20" ht="15" customHeight="1" x14ac:dyDescent="0.35">
      <c r="A10" s="9" t="s">
        <v>1012</v>
      </c>
      <c r="B10" s="9">
        <v>6254</v>
      </c>
      <c r="C10" s="10">
        <v>1846.4143099999999</v>
      </c>
      <c r="D10" s="10">
        <v>1665.1258600000001</v>
      </c>
      <c r="E10" s="5"/>
      <c r="F10" s="5"/>
      <c r="G10" s="5"/>
      <c r="H10" s="5"/>
      <c r="I10" s="5"/>
      <c r="J10" s="5"/>
      <c r="K10" s="5"/>
      <c r="L10" s="5"/>
      <c r="M10" s="5"/>
      <c r="N10" s="5"/>
      <c r="O10" s="5"/>
      <c r="P10" s="5"/>
      <c r="Q10" s="5"/>
      <c r="R10" s="5"/>
      <c r="S10" s="5"/>
      <c r="T10" s="5"/>
    </row>
    <row r="11" spans="1:20" ht="5" customHeight="1" x14ac:dyDescent="0.35">
      <c r="A11" s="5"/>
      <c r="B11" s="5"/>
      <c r="C11" s="5"/>
      <c r="D11" s="5"/>
      <c r="E11" s="5"/>
      <c r="F11" s="5"/>
      <c r="G11" s="5"/>
      <c r="H11" s="5"/>
      <c r="I11" s="5"/>
      <c r="J11" s="5"/>
      <c r="K11" s="5"/>
      <c r="L11" s="5"/>
      <c r="M11" s="5"/>
      <c r="N11" s="5"/>
      <c r="O11" s="5"/>
      <c r="P11" s="5"/>
      <c r="Q11" s="5"/>
      <c r="R11" s="5"/>
      <c r="S11" s="5"/>
      <c r="T11" s="5"/>
    </row>
    <row r="12" spans="1:20" x14ac:dyDescent="0.35">
      <c r="A12" s="5"/>
      <c r="B12" s="5"/>
      <c r="C12" s="5"/>
      <c r="D12" s="5"/>
      <c r="E12" s="5"/>
      <c r="F12" s="5"/>
      <c r="G12" s="5"/>
      <c r="H12" s="5"/>
      <c r="I12" s="5"/>
      <c r="J12" s="5"/>
      <c r="K12" s="5"/>
      <c r="L12" s="5"/>
      <c r="M12" s="5"/>
      <c r="N12" s="5"/>
      <c r="O12" s="5"/>
      <c r="P12" s="5"/>
      <c r="Q12" s="5"/>
      <c r="R12" s="5"/>
      <c r="S12" s="5"/>
      <c r="T12" s="5"/>
    </row>
    <row r="13" spans="1:20" x14ac:dyDescent="0.35">
      <c r="A13" s="5"/>
      <c r="B13" s="5"/>
      <c r="C13" s="5"/>
      <c r="D13" s="5"/>
      <c r="E13" s="5"/>
      <c r="F13" s="5"/>
      <c r="G13" s="5"/>
      <c r="H13" s="5"/>
      <c r="I13" s="5"/>
      <c r="J13" s="5"/>
      <c r="K13" s="5"/>
      <c r="L13" s="5"/>
      <c r="M13" s="5"/>
      <c r="N13" s="5"/>
      <c r="O13" s="5"/>
      <c r="P13" s="5"/>
      <c r="Q13" s="5"/>
      <c r="R13" s="5"/>
      <c r="S13" s="5"/>
      <c r="T13" s="5"/>
    </row>
    <row r="14" spans="1:20" x14ac:dyDescent="0.35">
      <c r="A14" s="5"/>
      <c r="B14" s="5"/>
      <c r="C14" s="5"/>
      <c r="D14" s="5"/>
      <c r="E14" s="5"/>
      <c r="F14" s="5"/>
      <c r="G14" s="5"/>
      <c r="H14" s="5"/>
      <c r="I14" s="5"/>
      <c r="J14" s="5"/>
      <c r="K14" s="5"/>
      <c r="L14" s="5"/>
      <c r="M14" s="5"/>
      <c r="N14" s="5"/>
      <c r="O14" s="5"/>
      <c r="P14" s="5"/>
      <c r="Q14" s="5"/>
      <c r="R14" s="5"/>
      <c r="S14" s="5"/>
      <c r="T14" s="5"/>
    </row>
    <row r="15" spans="1:20" x14ac:dyDescent="0.35">
      <c r="A15" s="5"/>
      <c r="B15" s="5"/>
      <c r="C15" s="5"/>
      <c r="D15" s="5"/>
      <c r="E15" s="5"/>
      <c r="F15" s="5"/>
      <c r="G15" s="5"/>
      <c r="H15" s="5"/>
      <c r="I15" s="5"/>
      <c r="J15" s="5"/>
      <c r="K15" s="5"/>
      <c r="L15" s="5"/>
      <c r="M15" s="5"/>
      <c r="N15" s="5"/>
      <c r="O15" s="5"/>
      <c r="P15" s="5"/>
      <c r="Q15" s="5"/>
      <c r="R15" s="5"/>
      <c r="S15" s="5"/>
      <c r="T15" s="5"/>
    </row>
    <row r="16" spans="1:20" x14ac:dyDescent="0.35">
      <c r="A16" s="5"/>
      <c r="B16" s="5"/>
      <c r="C16" s="5"/>
      <c r="D16" s="5"/>
      <c r="E16" s="5"/>
      <c r="F16" s="5"/>
      <c r="G16" s="5"/>
      <c r="H16" s="5"/>
      <c r="I16" s="5"/>
      <c r="J16" s="5"/>
      <c r="K16" s="5"/>
      <c r="L16" s="5"/>
      <c r="M16" s="5"/>
      <c r="N16" s="5"/>
      <c r="O16" s="5"/>
      <c r="P16" s="5"/>
      <c r="Q16" s="5"/>
      <c r="R16" s="5"/>
      <c r="S16" s="5"/>
      <c r="T16" s="5"/>
    </row>
    <row r="17" spans="1:20" x14ac:dyDescent="0.35">
      <c r="A17" s="5"/>
      <c r="B17" s="5"/>
      <c r="C17" s="5"/>
      <c r="D17" s="5"/>
      <c r="E17" s="5"/>
      <c r="F17" s="5"/>
      <c r="G17" s="5"/>
      <c r="H17" s="5"/>
      <c r="I17" s="5"/>
      <c r="J17" s="5"/>
      <c r="K17" s="5"/>
      <c r="L17" s="5"/>
      <c r="M17" s="5"/>
      <c r="N17" s="5"/>
      <c r="O17" s="5"/>
      <c r="P17" s="5"/>
      <c r="Q17" s="5"/>
      <c r="R17" s="5"/>
      <c r="S17" s="5"/>
      <c r="T17" s="5"/>
    </row>
    <row r="18" spans="1:20" x14ac:dyDescent="0.35">
      <c r="A18" s="5"/>
      <c r="B18" s="5"/>
      <c r="C18" s="5"/>
      <c r="D18" s="5"/>
      <c r="E18" s="5"/>
      <c r="F18" s="5"/>
      <c r="G18" s="5"/>
      <c r="H18" s="5"/>
      <c r="I18" s="5"/>
      <c r="J18" s="5"/>
      <c r="K18" s="5"/>
      <c r="L18" s="5"/>
      <c r="M18" s="5"/>
      <c r="N18" s="5"/>
      <c r="O18" s="5"/>
      <c r="P18" s="5"/>
      <c r="Q18" s="5"/>
      <c r="R18" s="5"/>
      <c r="S18" s="5"/>
      <c r="T18" s="5"/>
    </row>
    <row r="19" spans="1:20" x14ac:dyDescent="0.35">
      <c r="A19" s="5"/>
      <c r="B19" s="5"/>
      <c r="C19" s="5"/>
      <c r="D19" s="5"/>
      <c r="E19" s="5"/>
      <c r="F19" s="5"/>
      <c r="G19" s="5"/>
      <c r="H19" s="5"/>
      <c r="I19" s="5"/>
      <c r="J19" s="5"/>
      <c r="K19" s="5"/>
      <c r="L19" s="5"/>
      <c r="M19" s="5"/>
      <c r="N19" s="5"/>
      <c r="O19" s="5"/>
      <c r="P19" s="5"/>
      <c r="Q19" s="5"/>
      <c r="R19" s="5"/>
      <c r="S19" s="5"/>
      <c r="T19" s="5"/>
    </row>
    <row r="20" spans="1:20" x14ac:dyDescent="0.35">
      <c r="A20" s="5"/>
      <c r="B20" s="5"/>
      <c r="C20" s="5"/>
      <c r="D20" s="5"/>
      <c r="E20" s="5"/>
      <c r="F20" s="5"/>
      <c r="G20" s="5"/>
      <c r="H20" s="5"/>
      <c r="I20" s="5"/>
      <c r="J20" s="5"/>
      <c r="K20" s="5"/>
      <c r="L20" s="5"/>
      <c r="M20" s="5"/>
      <c r="N20" s="5"/>
      <c r="O20" s="5"/>
      <c r="P20" s="5"/>
      <c r="Q20" s="5"/>
      <c r="R20" s="5"/>
      <c r="S20" s="5"/>
      <c r="T20" s="5"/>
    </row>
    <row r="21" spans="1:20" x14ac:dyDescent="0.35">
      <c r="A21" s="5"/>
      <c r="B21" s="5"/>
      <c r="C21" s="5"/>
      <c r="D21" s="5"/>
      <c r="E21" s="5"/>
      <c r="F21" s="5"/>
      <c r="G21" s="5"/>
      <c r="H21" s="5"/>
      <c r="I21" s="5"/>
      <c r="J21" s="5"/>
      <c r="K21" s="5"/>
      <c r="L21" s="5"/>
      <c r="M21" s="5"/>
      <c r="N21" s="5"/>
      <c r="O21" s="5"/>
      <c r="P21" s="5"/>
      <c r="Q21" s="5"/>
      <c r="R21" s="5"/>
      <c r="S21" s="5"/>
      <c r="T21" s="5"/>
    </row>
    <row r="22" spans="1:20" x14ac:dyDescent="0.35">
      <c r="A22" s="5"/>
      <c r="B22" s="5"/>
      <c r="C22" s="5"/>
      <c r="D22" s="5"/>
      <c r="E22" s="5"/>
      <c r="F22" s="5"/>
      <c r="G22" s="5"/>
      <c r="H22" s="5"/>
      <c r="I22" s="5"/>
      <c r="J22" s="5"/>
      <c r="K22" s="5"/>
      <c r="L22" s="5"/>
      <c r="M22" s="5"/>
      <c r="N22" s="5"/>
      <c r="O22" s="5"/>
      <c r="P22" s="5"/>
      <c r="Q22" s="5"/>
      <c r="R22" s="5"/>
      <c r="S22" s="5"/>
      <c r="T22" s="5"/>
    </row>
    <row r="23" spans="1:20" x14ac:dyDescent="0.35">
      <c r="A23" s="5"/>
      <c r="B23" s="5"/>
      <c r="C23" s="5"/>
      <c r="D23" s="5"/>
      <c r="E23" s="5"/>
      <c r="F23" s="5"/>
      <c r="G23" s="5"/>
      <c r="H23" s="5"/>
      <c r="I23" s="5"/>
      <c r="J23" s="5"/>
      <c r="K23" s="5"/>
      <c r="L23" s="5"/>
      <c r="M23" s="5"/>
      <c r="N23" s="5"/>
      <c r="O23" s="5"/>
      <c r="P23" s="5"/>
      <c r="Q23" s="5"/>
      <c r="R23" s="5"/>
      <c r="S23" s="5"/>
      <c r="T23" s="5"/>
    </row>
    <row r="24" spans="1:20" x14ac:dyDescent="0.35">
      <c r="A24" s="5"/>
      <c r="B24" s="5"/>
      <c r="C24" s="5"/>
      <c r="D24" s="5"/>
      <c r="E24" s="5"/>
      <c r="F24" s="5"/>
      <c r="G24" s="5"/>
      <c r="H24" s="5"/>
      <c r="I24" s="5"/>
      <c r="J24" s="5"/>
      <c r="K24" s="5"/>
      <c r="L24" s="5"/>
      <c r="M24" s="5"/>
      <c r="N24" s="5"/>
      <c r="O24" s="5"/>
      <c r="P24" s="5"/>
      <c r="Q24" s="5"/>
      <c r="R24" s="5"/>
      <c r="S24" s="5"/>
      <c r="T24" s="5"/>
    </row>
    <row r="25" spans="1:20" x14ac:dyDescent="0.35">
      <c r="A25" s="5"/>
      <c r="B25" s="5"/>
      <c r="C25" s="5"/>
      <c r="D25" s="5"/>
      <c r="E25" s="5"/>
      <c r="F25" s="5"/>
      <c r="G25" s="5"/>
      <c r="H25" s="5"/>
      <c r="I25" s="5"/>
      <c r="J25" s="5"/>
      <c r="K25" s="5"/>
      <c r="L25" s="5"/>
      <c r="M25" s="5"/>
      <c r="N25" s="5"/>
      <c r="O25" s="5"/>
      <c r="P25" s="5"/>
      <c r="Q25" s="5"/>
      <c r="R25" s="5"/>
      <c r="S25" s="5"/>
      <c r="T25" s="5"/>
    </row>
    <row r="26" spans="1:20" x14ac:dyDescent="0.35">
      <c r="A26" s="5"/>
      <c r="B26" s="5"/>
      <c r="C26" s="5"/>
      <c r="D26" s="5"/>
      <c r="E26" s="5"/>
      <c r="F26" s="5"/>
      <c r="G26" s="5"/>
      <c r="H26" s="5"/>
      <c r="I26" s="5"/>
      <c r="J26" s="5"/>
      <c r="K26" s="5"/>
      <c r="L26" s="5"/>
      <c r="M26" s="5"/>
      <c r="N26" s="5"/>
      <c r="O26" s="5"/>
      <c r="P26" s="5"/>
      <c r="Q26" s="5"/>
      <c r="R26" s="5"/>
      <c r="S26" s="5"/>
      <c r="T26" s="5"/>
    </row>
    <row r="27" spans="1:20" x14ac:dyDescent="0.35">
      <c r="A27" s="5"/>
      <c r="B27" s="5"/>
      <c r="C27" s="5"/>
      <c r="D27" s="5"/>
      <c r="E27" s="5"/>
      <c r="F27" s="5"/>
      <c r="G27" s="5"/>
      <c r="H27" s="5"/>
      <c r="I27" s="5"/>
      <c r="J27" s="5"/>
      <c r="K27" s="5"/>
      <c r="L27" s="5"/>
      <c r="M27" s="5"/>
      <c r="N27" s="5"/>
      <c r="O27" s="5"/>
      <c r="P27" s="5"/>
      <c r="Q27" s="5"/>
      <c r="R27" s="5"/>
      <c r="S27" s="5"/>
      <c r="T27" s="5"/>
    </row>
    <row r="28" spans="1:20" x14ac:dyDescent="0.35">
      <c r="A28" s="5"/>
      <c r="B28" s="5"/>
      <c r="C28" s="5"/>
      <c r="D28" s="5"/>
      <c r="E28" s="5"/>
      <c r="F28" s="5"/>
      <c r="G28" s="5"/>
      <c r="H28" s="5"/>
      <c r="I28" s="5"/>
      <c r="J28" s="5"/>
      <c r="K28" s="5"/>
      <c r="L28" s="5"/>
      <c r="M28" s="5"/>
      <c r="N28" s="5"/>
      <c r="O28" s="5"/>
      <c r="P28" s="5"/>
      <c r="Q28" s="5"/>
      <c r="R28" s="5"/>
      <c r="S28" s="5"/>
      <c r="T28" s="5"/>
    </row>
  </sheetData>
  <conditionalFormatting sqref="B6:D10">
    <cfRule type="colorScale" priority="1">
      <colorScale>
        <cfvo type="min"/>
        <cfvo type="max"/>
        <color rgb="FFFFEF9C"/>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FD11F-211E-4D90-91E2-D7F38BBAC798}">
  <dimension ref="A3:H46"/>
  <sheetViews>
    <sheetView topLeftCell="A28" workbookViewId="0">
      <selection activeCell="A36" sqref="A36:D41"/>
    </sheetView>
  </sheetViews>
  <sheetFormatPr defaultRowHeight="14.5" x14ac:dyDescent="0.35"/>
  <cols>
    <col min="1" max="1" width="12.36328125" bestFit="1" customWidth="1"/>
    <col min="2" max="2" width="14.54296875" bestFit="1" customWidth="1"/>
    <col min="3" max="3" width="19.26953125" bestFit="1" customWidth="1"/>
    <col min="4" max="4" width="21.08984375" bestFit="1" customWidth="1"/>
  </cols>
  <sheetData>
    <row r="3" spans="1:2" x14ac:dyDescent="0.35">
      <c r="A3" s="3" t="s">
        <v>1011</v>
      </c>
      <c r="B3" t="s">
        <v>1013</v>
      </c>
    </row>
    <row r="4" spans="1:2" x14ac:dyDescent="0.35">
      <c r="A4" s="4" t="s">
        <v>23</v>
      </c>
      <c r="B4">
        <v>49187364</v>
      </c>
    </row>
    <row r="5" spans="1:2" x14ac:dyDescent="0.35">
      <c r="A5" s="4" t="s">
        <v>46</v>
      </c>
      <c r="B5">
        <v>33238672</v>
      </c>
    </row>
    <row r="6" spans="1:2" x14ac:dyDescent="0.35">
      <c r="A6" s="4" t="s">
        <v>33</v>
      </c>
      <c r="B6">
        <v>38199831</v>
      </c>
    </row>
    <row r="7" spans="1:2" x14ac:dyDescent="0.35">
      <c r="A7" s="4" t="s">
        <v>107</v>
      </c>
      <c r="B7">
        <v>45886719</v>
      </c>
    </row>
    <row r="18" spans="1:4" x14ac:dyDescent="0.35">
      <c r="A18" s="3" t="s">
        <v>1011</v>
      </c>
      <c r="B18" t="s">
        <v>1014</v>
      </c>
      <c r="C18" t="s">
        <v>1015</v>
      </c>
      <c r="D18" t="s">
        <v>1016</v>
      </c>
    </row>
    <row r="19" spans="1:4" x14ac:dyDescent="0.35">
      <c r="A19" s="4" t="s">
        <v>23</v>
      </c>
      <c r="B19">
        <v>1748</v>
      </c>
      <c r="C19">
        <v>55042147</v>
      </c>
      <c r="D19">
        <v>49187364</v>
      </c>
    </row>
    <row r="20" spans="1:4" x14ac:dyDescent="0.35">
      <c r="A20" s="4" t="s">
        <v>46</v>
      </c>
      <c r="B20">
        <v>1244</v>
      </c>
      <c r="C20">
        <v>36836186</v>
      </c>
      <c r="D20">
        <v>33238672</v>
      </c>
    </row>
    <row r="21" spans="1:4" x14ac:dyDescent="0.35">
      <c r="A21" s="4" t="s">
        <v>33</v>
      </c>
      <c r="B21">
        <v>1485</v>
      </c>
      <c r="C21">
        <v>42264199</v>
      </c>
      <c r="D21">
        <v>38199831</v>
      </c>
    </row>
    <row r="22" spans="1:4" x14ac:dyDescent="0.35">
      <c r="A22" s="4" t="s">
        <v>107</v>
      </c>
      <c r="B22">
        <v>1777</v>
      </c>
      <c r="C22">
        <v>50498899</v>
      </c>
      <c r="D22">
        <v>45886719</v>
      </c>
    </row>
    <row r="23" spans="1:4" x14ac:dyDescent="0.35">
      <c r="A23" s="4" t="s">
        <v>1012</v>
      </c>
      <c r="B23">
        <v>6254</v>
      </c>
      <c r="C23">
        <v>184641431</v>
      </c>
      <c r="D23">
        <v>166512586</v>
      </c>
    </row>
    <row r="28" spans="1:4" x14ac:dyDescent="0.35">
      <c r="A28" s="3" t="s">
        <v>1011</v>
      </c>
      <c r="B28" t="s">
        <v>1014</v>
      </c>
      <c r="C28" t="s">
        <v>1015</v>
      </c>
      <c r="D28" t="s">
        <v>1016</v>
      </c>
    </row>
    <row r="29" spans="1:4" x14ac:dyDescent="0.35">
      <c r="A29" s="4" t="s">
        <v>23</v>
      </c>
      <c r="B29">
        <v>1748</v>
      </c>
      <c r="C29">
        <v>55042147</v>
      </c>
      <c r="D29">
        <v>49187364</v>
      </c>
    </row>
    <row r="30" spans="1:4" x14ac:dyDescent="0.35">
      <c r="A30" s="4" t="s">
        <v>46</v>
      </c>
      <c r="B30">
        <v>1244</v>
      </c>
      <c r="C30">
        <v>36836186</v>
      </c>
      <c r="D30">
        <v>33238672</v>
      </c>
    </row>
    <row r="31" spans="1:4" x14ac:dyDescent="0.35">
      <c r="A31" s="4" t="s">
        <v>33</v>
      </c>
      <c r="B31">
        <v>1485</v>
      </c>
      <c r="C31">
        <v>42264199</v>
      </c>
      <c r="D31">
        <v>38199831</v>
      </c>
    </row>
    <row r="32" spans="1:4" x14ac:dyDescent="0.35">
      <c r="A32" s="4" t="s">
        <v>107</v>
      </c>
      <c r="B32">
        <v>1777</v>
      </c>
      <c r="C32">
        <v>50498899</v>
      </c>
      <c r="D32">
        <v>45886719</v>
      </c>
    </row>
    <row r="33" spans="1:8" x14ac:dyDescent="0.35">
      <c r="A33" s="4" t="s">
        <v>1012</v>
      </c>
      <c r="B33">
        <v>6254</v>
      </c>
      <c r="C33">
        <v>184641431</v>
      </c>
      <c r="D33">
        <v>166512586</v>
      </c>
    </row>
    <row r="36" spans="1:8" ht="52" customHeight="1" x14ac:dyDescent="0.35">
      <c r="A36" s="7" t="s">
        <v>1018</v>
      </c>
      <c r="B36" s="7" t="s">
        <v>6</v>
      </c>
      <c r="C36" s="8" t="s">
        <v>1017</v>
      </c>
      <c r="D36" s="8" t="s">
        <v>1019</v>
      </c>
    </row>
    <row r="37" spans="1:8" x14ac:dyDescent="0.35">
      <c r="A37" s="9" t="s">
        <v>23</v>
      </c>
      <c r="B37" s="9">
        <v>1748</v>
      </c>
      <c r="C37" s="10">
        <v>550.42147</v>
      </c>
      <c r="D37" s="10">
        <v>491.87364000000002</v>
      </c>
      <c r="F37">
        <f>100000</f>
        <v>100000</v>
      </c>
      <c r="G37" s="6">
        <f>C37/$F$37</f>
        <v>5.5042147000000001E-3</v>
      </c>
      <c r="H37" s="6">
        <f>D37/$F$37</f>
        <v>4.9187364000000001E-3</v>
      </c>
    </row>
    <row r="38" spans="1:8" x14ac:dyDescent="0.35">
      <c r="A38" s="9" t="s">
        <v>46</v>
      </c>
      <c r="B38" s="9">
        <v>1244</v>
      </c>
      <c r="C38" s="10">
        <v>368.36185999999998</v>
      </c>
      <c r="D38" s="10">
        <v>332.38672000000003</v>
      </c>
      <c r="G38" s="6">
        <f t="shared" ref="G38:G41" si="0">C38/$F$37</f>
        <v>3.6836185999999998E-3</v>
      </c>
      <c r="H38" s="6">
        <f t="shared" ref="H38:H41" si="1">D38/$F$37</f>
        <v>3.3238672000000004E-3</v>
      </c>
    </row>
    <row r="39" spans="1:8" x14ac:dyDescent="0.35">
      <c r="A39" s="9" t="s">
        <v>33</v>
      </c>
      <c r="B39" s="9">
        <v>1485</v>
      </c>
      <c r="C39" s="10">
        <v>422.64199000000002</v>
      </c>
      <c r="D39" s="10">
        <v>381.99831</v>
      </c>
      <c r="G39" s="6">
        <f t="shared" si="0"/>
        <v>4.2264199000000002E-3</v>
      </c>
      <c r="H39" s="6">
        <f t="shared" si="1"/>
        <v>3.8199830999999999E-3</v>
      </c>
    </row>
    <row r="40" spans="1:8" x14ac:dyDescent="0.35">
      <c r="A40" s="9" t="s">
        <v>107</v>
      </c>
      <c r="B40" s="9">
        <v>1777</v>
      </c>
      <c r="C40" s="10">
        <v>504.98899</v>
      </c>
      <c r="D40" s="10">
        <v>458.86718999999999</v>
      </c>
      <c r="G40" s="6">
        <f t="shared" si="0"/>
        <v>5.0498899E-3</v>
      </c>
      <c r="H40" s="6">
        <f t="shared" si="1"/>
        <v>4.5886718999999998E-3</v>
      </c>
    </row>
    <row r="41" spans="1:8" x14ac:dyDescent="0.35">
      <c r="A41" s="9" t="s">
        <v>1012</v>
      </c>
      <c r="B41" s="9">
        <v>6254</v>
      </c>
      <c r="C41" s="10">
        <v>1846.4143099999999</v>
      </c>
      <c r="D41" s="10">
        <v>1665.1258600000001</v>
      </c>
      <c r="G41" s="6">
        <f t="shared" si="0"/>
        <v>1.84641431E-2</v>
      </c>
      <c r="H41" s="6">
        <f t="shared" si="1"/>
        <v>1.66512586E-2</v>
      </c>
    </row>
    <row r="42" spans="1:8" x14ac:dyDescent="0.35">
      <c r="G42" s="6">
        <v>550.42147</v>
      </c>
      <c r="H42" s="6">
        <v>491.87364000000002</v>
      </c>
    </row>
    <row r="43" spans="1:8" x14ac:dyDescent="0.35">
      <c r="G43" s="6">
        <v>368.36185999999998</v>
      </c>
      <c r="H43" s="6">
        <v>332.38672000000003</v>
      </c>
    </row>
    <row r="44" spans="1:8" x14ac:dyDescent="0.35">
      <c r="G44" s="6">
        <v>422.64199000000002</v>
      </c>
      <c r="H44" s="6">
        <v>381.99831</v>
      </c>
    </row>
    <row r="45" spans="1:8" x14ac:dyDescent="0.35">
      <c r="G45" s="6">
        <v>504.98899</v>
      </c>
      <c r="H45" s="6">
        <v>458.86718999999999</v>
      </c>
    </row>
    <row r="46" spans="1:8" x14ac:dyDescent="0.35">
      <c r="G46" s="6">
        <v>1846.4143099999999</v>
      </c>
      <c r="H46" s="6">
        <v>1665.1258600000001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6636-FBC1-4F4A-BB2E-86FB436A9564}">
  <dimension ref="A3:B10"/>
  <sheetViews>
    <sheetView workbookViewId="0">
      <selection activeCell="K14" sqref="K14"/>
    </sheetView>
  </sheetViews>
  <sheetFormatPr defaultRowHeight="14.5" x14ac:dyDescent="0.35"/>
  <cols>
    <col min="1" max="1" width="12.36328125" bestFit="1" customWidth="1"/>
    <col min="2" max="2" width="17.54296875" bestFit="1" customWidth="1"/>
  </cols>
  <sheetData>
    <row r="3" spans="1:2" x14ac:dyDescent="0.35">
      <c r="A3" s="3" t="s">
        <v>1011</v>
      </c>
      <c r="B3" t="s">
        <v>1013</v>
      </c>
    </row>
    <row r="4" spans="1:2" x14ac:dyDescent="0.35">
      <c r="A4" s="4" t="s">
        <v>48</v>
      </c>
      <c r="B4">
        <v>20678614</v>
      </c>
    </row>
    <row r="5" spans="1:2" x14ac:dyDescent="0.35">
      <c r="A5" s="4" t="s">
        <v>101</v>
      </c>
      <c r="B5">
        <v>27151696</v>
      </c>
    </row>
    <row r="6" spans="1:2" x14ac:dyDescent="0.35">
      <c r="A6" s="4" t="s">
        <v>54</v>
      </c>
      <c r="B6">
        <v>25830786</v>
      </c>
    </row>
    <row r="7" spans="1:2" x14ac:dyDescent="0.35">
      <c r="A7" s="4" t="s">
        <v>40</v>
      </c>
      <c r="B7">
        <v>30798849</v>
      </c>
    </row>
    <row r="8" spans="1:2" x14ac:dyDescent="0.35">
      <c r="A8" s="4" t="s">
        <v>61</v>
      </c>
      <c r="B8">
        <v>33086886</v>
      </c>
    </row>
    <row r="9" spans="1:2" x14ac:dyDescent="0.35">
      <c r="A9" s="4" t="s">
        <v>25</v>
      </c>
      <c r="B9">
        <v>28965755</v>
      </c>
    </row>
    <row r="10" spans="1:2" x14ac:dyDescent="0.35">
      <c r="A10" s="4" t="s">
        <v>1012</v>
      </c>
      <c r="B10">
        <v>166512586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9362-0ADE-4F53-8E81-DD101E90D62C}">
  <dimension ref="A3:B10"/>
  <sheetViews>
    <sheetView workbookViewId="0">
      <selection activeCell="L8" sqref="L8"/>
    </sheetView>
  </sheetViews>
  <sheetFormatPr defaultRowHeight="14.5" x14ac:dyDescent="0.35"/>
  <cols>
    <col min="1" max="1" width="12.36328125" bestFit="1" customWidth="1"/>
    <col min="2" max="2" width="17.54296875" bestFit="1" customWidth="1"/>
  </cols>
  <sheetData>
    <row r="3" spans="1:2" x14ac:dyDescent="0.35">
      <c r="A3" s="3" t="s">
        <v>1011</v>
      </c>
      <c r="B3" t="s">
        <v>1013</v>
      </c>
    </row>
    <row r="4" spans="1:2" x14ac:dyDescent="0.35">
      <c r="A4" s="4" t="s">
        <v>34</v>
      </c>
      <c r="B4">
        <v>22310156</v>
      </c>
    </row>
    <row r="5" spans="1:2" x14ac:dyDescent="0.35">
      <c r="A5" s="4" t="s">
        <v>66</v>
      </c>
      <c r="B5">
        <v>31469706</v>
      </c>
    </row>
    <row r="6" spans="1:2" x14ac:dyDescent="0.35">
      <c r="A6" s="4" t="s">
        <v>24</v>
      </c>
      <c r="B6">
        <v>27852144</v>
      </c>
    </row>
    <row r="7" spans="1:2" x14ac:dyDescent="0.35">
      <c r="A7" s="4" t="s">
        <v>39</v>
      </c>
      <c r="B7">
        <v>27456191</v>
      </c>
    </row>
    <row r="8" spans="1:2" x14ac:dyDescent="0.35">
      <c r="A8" s="4" t="s">
        <v>84</v>
      </c>
      <c r="B8">
        <v>25413735</v>
      </c>
    </row>
    <row r="9" spans="1:2" x14ac:dyDescent="0.35">
      <c r="A9" s="4" t="s">
        <v>47</v>
      </c>
      <c r="B9">
        <v>32010654</v>
      </c>
    </row>
    <row r="10" spans="1:2" x14ac:dyDescent="0.35">
      <c r="A10" s="4" t="s">
        <v>1012</v>
      </c>
      <c r="B10">
        <v>166512586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1EA3-EAB3-4CDC-8601-5C7C7D77AA76}">
  <dimension ref="A3:B12"/>
  <sheetViews>
    <sheetView workbookViewId="0">
      <selection activeCell="B16" sqref="B16"/>
    </sheetView>
  </sheetViews>
  <sheetFormatPr defaultRowHeight="14.5" x14ac:dyDescent="0.35"/>
  <cols>
    <col min="1" max="1" width="12.36328125" bestFit="1" customWidth="1"/>
    <col min="2" max="2" width="17.54296875" bestFit="1" customWidth="1"/>
  </cols>
  <sheetData>
    <row r="3" spans="1:2" x14ac:dyDescent="0.35">
      <c r="A3" s="3" t="s">
        <v>1011</v>
      </c>
      <c r="B3" t="s">
        <v>1013</v>
      </c>
    </row>
    <row r="4" spans="1:2" x14ac:dyDescent="0.35">
      <c r="A4" s="4">
        <v>2019</v>
      </c>
      <c r="B4">
        <v>28632743</v>
      </c>
    </row>
    <row r="5" spans="1:2" x14ac:dyDescent="0.35">
      <c r="A5" s="4">
        <v>2020</v>
      </c>
      <c r="B5">
        <v>22542397</v>
      </c>
    </row>
    <row r="6" spans="1:2" x14ac:dyDescent="0.35">
      <c r="A6" s="4">
        <v>2021</v>
      </c>
      <c r="B6">
        <v>34619010</v>
      </c>
    </row>
    <row r="7" spans="1:2" x14ac:dyDescent="0.35">
      <c r="A7" s="4">
        <v>2022</v>
      </c>
      <c r="B7">
        <v>27362577</v>
      </c>
    </row>
    <row r="8" spans="1:2" x14ac:dyDescent="0.35">
      <c r="A8" s="4">
        <v>2023</v>
      </c>
      <c r="B8">
        <v>22855389</v>
      </c>
    </row>
    <row r="9" spans="1:2" x14ac:dyDescent="0.35">
      <c r="A9" s="4">
        <v>2024</v>
      </c>
      <c r="B9">
        <v>29932684</v>
      </c>
    </row>
    <row r="10" spans="1:2" x14ac:dyDescent="0.35">
      <c r="A10" s="4">
        <v>2025</v>
      </c>
      <c r="B10">
        <v>567786</v>
      </c>
    </row>
    <row r="11" spans="1:2" x14ac:dyDescent="0.35">
      <c r="A11" s="4" t="s">
        <v>1020</v>
      </c>
    </row>
    <row r="12" spans="1:2" x14ac:dyDescent="0.35">
      <c r="A12" s="4" t="s">
        <v>1012</v>
      </c>
      <c r="B12">
        <v>166512586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CC54-1C28-41DF-9589-D976150CAEF3}">
  <dimension ref="A3:C12"/>
  <sheetViews>
    <sheetView topLeftCell="B1" workbookViewId="0">
      <selection activeCell="A3" sqref="A3:C11"/>
    </sheetView>
  </sheetViews>
  <sheetFormatPr defaultRowHeight="14.5" x14ac:dyDescent="0.35"/>
  <cols>
    <col min="1" max="1" width="12.36328125" bestFit="1" customWidth="1"/>
    <col min="2" max="2" width="14.54296875" bestFit="1" customWidth="1"/>
    <col min="3" max="3" width="17.54296875" bestFit="1" customWidth="1"/>
  </cols>
  <sheetData>
    <row r="3" spans="1:3" x14ac:dyDescent="0.35">
      <c r="A3" s="3" t="s">
        <v>1011</v>
      </c>
      <c r="B3" t="s">
        <v>1014</v>
      </c>
      <c r="C3" t="s">
        <v>1013</v>
      </c>
    </row>
    <row r="4" spans="1:3" x14ac:dyDescent="0.35">
      <c r="A4" s="4" t="s">
        <v>53</v>
      </c>
      <c r="B4">
        <v>678</v>
      </c>
      <c r="C4">
        <v>17802329</v>
      </c>
    </row>
    <row r="5" spans="1:3" x14ac:dyDescent="0.35">
      <c r="A5" s="4" t="s">
        <v>79</v>
      </c>
      <c r="B5">
        <v>865</v>
      </c>
      <c r="C5">
        <v>27276091</v>
      </c>
    </row>
    <row r="6" spans="1:3" x14ac:dyDescent="0.35">
      <c r="A6" s="4" t="s">
        <v>60</v>
      </c>
      <c r="B6">
        <v>684</v>
      </c>
      <c r="C6">
        <v>16665477</v>
      </c>
    </row>
    <row r="7" spans="1:3" x14ac:dyDescent="0.35">
      <c r="A7" s="4" t="s">
        <v>45</v>
      </c>
      <c r="B7">
        <v>560</v>
      </c>
      <c r="C7">
        <v>16573195</v>
      </c>
    </row>
    <row r="8" spans="1:3" x14ac:dyDescent="0.35">
      <c r="A8" s="4" t="s">
        <v>124</v>
      </c>
      <c r="B8">
        <v>851</v>
      </c>
      <c r="C8">
        <v>20552028</v>
      </c>
    </row>
    <row r="9" spans="1:3" x14ac:dyDescent="0.35">
      <c r="A9" s="4" t="s">
        <v>106</v>
      </c>
      <c r="B9">
        <v>926</v>
      </c>
      <c r="C9">
        <v>25334691</v>
      </c>
    </row>
    <row r="10" spans="1:3" x14ac:dyDescent="0.35">
      <c r="A10" s="4" t="s">
        <v>32</v>
      </c>
      <c r="B10">
        <v>807</v>
      </c>
      <c r="C10">
        <v>20397502</v>
      </c>
    </row>
    <row r="11" spans="1:3" x14ac:dyDescent="0.35">
      <c r="A11" s="4" t="s">
        <v>22</v>
      </c>
      <c r="B11">
        <v>883</v>
      </c>
      <c r="C11">
        <v>21911273</v>
      </c>
    </row>
    <row r="12" spans="1:3" x14ac:dyDescent="0.35">
      <c r="A12" s="4" t="s">
        <v>1012</v>
      </c>
      <c r="B12">
        <v>6254</v>
      </c>
      <c r="C12">
        <v>166512586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1"/>
  <sheetViews>
    <sheetView workbookViewId="0">
      <selection activeCell="F13" sqref="F13"/>
    </sheetView>
  </sheetViews>
  <sheetFormatPr defaultRowHeight="14.5" x14ac:dyDescent="0.35"/>
  <cols>
    <col min="1" max="1" width="9.36328125" style="1" bestFit="1" customWidth="1"/>
    <col min="2" max="2" width="11.08984375" style="1" bestFit="1" customWidth="1"/>
    <col min="3" max="3" width="14.36328125" style="1" bestFit="1" customWidth="1"/>
    <col min="4" max="4" width="11.1796875" style="1" bestFit="1" customWidth="1"/>
    <col min="5" max="5" width="12.6328125" style="1" bestFit="1" customWidth="1"/>
    <col min="6" max="6" width="15.1796875" style="1" bestFit="1" customWidth="1"/>
    <col min="7" max="7" width="8" style="1" bestFit="1" customWidth="1"/>
    <col min="8" max="8" width="8.7265625" style="1"/>
    <col min="9" max="9" width="12.7265625" style="1" bestFit="1" customWidth="1"/>
    <col min="10" max="10" width="15.36328125" style="1" bestFit="1" customWidth="1"/>
    <col min="11" max="11" width="14.54296875" style="1" bestFit="1" customWidth="1"/>
    <col min="12" max="12" width="10.90625" style="1" bestFit="1" customWidth="1"/>
    <col min="13" max="13" width="10.81640625" style="1" bestFit="1" customWidth="1"/>
    <col min="14" max="14" width="11.6328125" style="1" bestFit="1" customWidth="1"/>
    <col min="15" max="15" width="11" style="1" bestFit="1" customWidth="1"/>
    <col min="16" max="16" width="7.453125" style="1" bestFit="1" customWidth="1"/>
    <col min="17" max="17" width="4.81640625" style="1" bestFit="1" customWidth="1"/>
    <col min="18" max="18" width="6.453125" style="1" bestFit="1" customWidth="1"/>
    <col min="19" max="19" width="7.36328125" style="1" bestFit="1"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 t="s">
        <v>19</v>
      </c>
      <c r="B2" s="2">
        <v>44168</v>
      </c>
      <c r="C2" s="1" t="s">
        <v>20</v>
      </c>
      <c r="D2" s="1" t="s">
        <v>21</v>
      </c>
      <c r="E2" s="1" t="s">
        <v>22</v>
      </c>
      <c r="F2" s="1" t="s">
        <v>23</v>
      </c>
      <c r="G2" s="1">
        <v>3</v>
      </c>
      <c r="H2" s="1">
        <v>6101</v>
      </c>
      <c r="I2" s="1">
        <v>18303</v>
      </c>
      <c r="J2" s="1">
        <v>333</v>
      </c>
      <c r="K2" s="1">
        <v>17970</v>
      </c>
      <c r="L2" s="1">
        <v>17970</v>
      </c>
      <c r="M2" s="1" t="s">
        <v>24</v>
      </c>
      <c r="N2" s="1" t="s">
        <v>25</v>
      </c>
      <c r="O2" s="1" t="s">
        <v>26</v>
      </c>
      <c r="P2" s="1" t="s">
        <v>27</v>
      </c>
      <c r="Q2" s="1">
        <v>2020</v>
      </c>
      <c r="R2" s="1">
        <v>12</v>
      </c>
      <c r="S2" s="1" t="s">
        <v>28</v>
      </c>
    </row>
    <row r="3" spans="1:19" x14ac:dyDescent="0.35">
      <c r="A3" s="1" t="s">
        <v>29</v>
      </c>
      <c r="B3" s="2">
        <v>44354</v>
      </c>
      <c r="C3" s="1" t="s">
        <v>30</v>
      </c>
      <c r="D3" s="1" t="s">
        <v>31</v>
      </c>
      <c r="E3" s="1" t="s">
        <v>32</v>
      </c>
      <c r="F3" s="1" t="s">
        <v>33</v>
      </c>
      <c r="G3" s="1">
        <v>1</v>
      </c>
      <c r="H3" s="1">
        <v>37230</v>
      </c>
      <c r="I3" s="1">
        <v>37230</v>
      </c>
      <c r="J3" s="1">
        <v>5085</v>
      </c>
      <c r="K3" s="1">
        <v>32145</v>
      </c>
      <c r="L3" s="1">
        <v>32145</v>
      </c>
      <c r="M3" s="1" t="s">
        <v>34</v>
      </c>
      <c r="N3" s="1" t="s">
        <v>25</v>
      </c>
      <c r="O3" s="1" t="s">
        <v>26</v>
      </c>
      <c r="P3" s="1" t="s">
        <v>27</v>
      </c>
      <c r="Q3" s="1">
        <v>2021</v>
      </c>
      <c r="R3" s="1">
        <v>6</v>
      </c>
      <c r="S3" s="1" t="s">
        <v>35</v>
      </c>
    </row>
    <row r="4" spans="1:19" x14ac:dyDescent="0.35">
      <c r="A4" s="1" t="s">
        <v>36</v>
      </c>
      <c r="B4" s="2">
        <v>43949</v>
      </c>
      <c r="C4" s="1" t="s">
        <v>37</v>
      </c>
      <c r="D4" s="1" t="s">
        <v>38</v>
      </c>
      <c r="E4" s="1" t="s">
        <v>32</v>
      </c>
      <c r="F4" s="1" t="s">
        <v>33</v>
      </c>
      <c r="G4" s="1">
        <v>29</v>
      </c>
      <c r="H4" s="1">
        <v>6129</v>
      </c>
      <c r="I4" s="1">
        <v>177741</v>
      </c>
      <c r="J4" s="1">
        <v>728</v>
      </c>
      <c r="K4" s="1">
        <v>177013</v>
      </c>
      <c r="L4" s="1">
        <v>177013</v>
      </c>
      <c r="M4" s="1" t="s">
        <v>39</v>
      </c>
      <c r="N4" s="1" t="s">
        <v>40</v>
      </c>
      <c r="O4" s="1" t="s">
        <v>41</v>
      </c>
      <c r="P4" s="1" t="s">
        <v>27</v>
      </c>
      <c r="Q4" s="1">
        <v>2020</v>
      </c>
      <c r="R4" s="1">
        <v>4</v>
      </c>
      <c r="S4" s="1" t="s">
        <v>35</v>
      </c>
    </row>
    <row r="5" spans="1:19" x14ac:dyDescent="0.35">
      <c r="A5" s="1" t="s">
        <v>42</v>
      </c>
      <c r="B5" s="2">
        <v>43802</v>
      </c>
      <c r="C5" s="1" t="s">
        <v>43</v>
      </c>
      <c r="D5" s="1" t="s">
        <v>44</v>
      </c>
      <c r="E5" s="1" t="s">
        <v>45</v>
      </c>
      <c r="F5" s="1" t="s">
        <v>46</v>
      </c>
      <c r="G5" s="1">
        <v>26</v>
      </c>
      <c r="H5" s="1">
        <v>53781</v>
      </c>
      <c r="I5" s="1">
        <v>1398306</v>
      </c>
      <c r="J5" s="1">
        <v>53416</v>
      </c>
      <c r="K5" s="1">
        <v>1344890</v>
      </c>
      <c r="L5" s="1">
        <v>1344890</v>
      </c>
      <c r="M5" s="1" t="s">
        <v>47</v>
      </c>
      <c r="N5" s="1" t="s">
        <v>48</v>
      </c>
      <c r="O5" s="1" t="s">
        <v>49</v>
      </c>
      <c r="P5" s="1" t="s">
        <v>27</v>
      </c>
      <c r="Q5" s="1">
        <v>2019</v>
      </c>
      <c r="R5" s="1">
        <v>12</v>
      </c>
      <c r="S5" s="1" t="s">
        <v>28</v>
      </c>
    </row>
    <row r="6" spans="1:19" x14ac:dyDescent="0.35">
      <c r="A6" s="1" t="s">
        <v>50</v>
      </c>
      <c r="B6" s="2">
        <v>45559</v>
      </c>
      <c r="C6" s="1" t="s">
        <v>51</v>
      </c>
      <c r="D6" s="1" t="s">
        <v>52</v>
      </c>
      <c r="E6" s="1" t="s">
        <v>53</v>
      </c>
      <c r="F6" s="1" t="s">
        <v>33</v>
      </c>
      <c r="G6" s="1">
        <v>24</v>
      </c>
      <c r="H6" s="1">
        <v>23578</v>
      </c>
      <c r="I6" s="1">
        <v>565872</v>
      </c>
      <c r="J6" s="1">
        <v>47815</v>
      </c>
      <c r="K6" s="1">
        <v>518057</v>
      </c>
      <c r="L6" s="1">
        <v>518057</v>
      </c>
      <c r="M6" s="1" t="s">
        <v>24</v>
      </c>
      <c r="N6" s="1" t="s">
        <v>54</v>
      </c>
      <c r="O6" s="1" t="s">
        <v>55</v>
      </c>
      <c r="P6" s="1" t="s">
        <v>27</v>
      </c>
      <c r="Q6" s="1">
        <v>2024</v>
      </c>
      <c r="R6" s="1">
        <v>9</v>
      </c>
      <c r="S6" s="1" t="s">
        <v>56</v>
      </c>
    </row>
    <row r="7" spans="1:19" x14ac:dyDescent="0.35">
      <c r="A7" s="1" t="s">
        <v>57</v>
      </c>
      <c r="B7" s="2">
        <v>44797</v>
      </c>
      <c r="C7" s="1" t="s">
        <v>58</v>
      </c>
      <c r="D7" s="1" t="s">
        <v>59</v>
      </c>
      <c r="E7" s="1" t="s">
        <v>60</v>
      </c>
      <c r="F7" s="1" t="s">
        <v>46</v>
      </c>
      <c r="G7" s="1">
        <v>1</v>
      </c>
      <c r="H7" s="1">
        <v>17983</v>
      </c>
      <c r="I7" s="1">
        <v>17983</v>
      </c>
      <c r="J7" s="1">
        <v>1021</v>
      </c>
      <c r="K7" s="1">
        <v>16962</v>
      </c>
      <c r="L7" s="1">
        <v>16962</v>
      </c>
      <c r="M7" s="1" t="s">
        <v>34</v>
      </c>
      <c r="N7" s="1" t="s">
        <v>61</v>
      </c>
      <c r="O7" s="1" t="s">
        <v>62</v>
      </c>
      <c r="P7" s="1" t="s">
        <v>27</v>
      </c>
      <c r="Q7" s="1">
        <v>2022</v>
      </c>
      <c r="R7" s="1">
        <v>8</v>
      </c>
      <c r="S7" s="1" t="s">
        <v>56</v>
      </c>
    </row>
    <row r="8" spans="1:19" x14ac:dyDescent="0.35">
      <c r="A8" s="1" t="s">
        <v>63</v>
      </c>
      <c r="B8" s="2">
        <v>43521</v>
      </c>
      <c r="C8" s="1" t="s">
        <v>64</v>
      </c>
      <c r="D8" s="1" t="s">
        <v>65</v>
      </c>
      <c r="E8" s="1" t="s">
        <v>22</v>
      </c>
      <c r="F8" s="1" t="s">
        <v>23</v>
      </c>
      <c r="G8" s="1">
        <v>19</v>
      </c>
      <c r="H8" s="1">
        <v>4843</v>
      </c>
      <c r="I8" s="1">
        <v>92017</v>
      </c>
      <c r="J8" s="1">
        <v>9313</v>
      </c>
      <c r="K8" s="1">
        <v>82704</v>
      </c>
      <c r="L8" s="1">
        <v>82704</v>
      </c>
      <c r="M8" s="1" t="s">
        <v>66</v>
      </c>
      <c r="N8" s="1" t="s">
        <v>54</v>
      </c>
      <c r="O8" s="1" t="s">
        <v>67</v>
      </c>
      <c r="P8" s="1" t="s">
        <v>27</v>
      </c>
      <c r="Q8" s="1">
        <v>2019</v>
      </c>
      <c r="R8" s="1">
        <v>2</v>
      </c>
      <c r="S8" s="1" t="s">
        <v>68</v>
      </c>
    </row>
    <row r="9" spans="1:19" x14ac:dyDescent="0.35">
      <c r="A9" s="1" t="s">
        <v>69</v>
      </c>
      <c r="B9" s="2">
        <v>44544</v>
      </c>
      <c r="C9" s="1" t="s">
        <v>70</v>
      </c>
      <c r="D9" s="1" t="s">
        <v>71</v>
      </c>
      <c r="E9" s="1" t="s">
        <v>22</v>
      </c>
      <c r="F9" s="1" t="s">
        <v>23</v>
      </c>
      <c r="G9" s="1">
        <v>18</v>
      </c>
      <c r="H9" s="1">
        <v>1248</v>
      </c>
      <c r="I9" s="1">
        <v>22464</v>
      </c>
      <c r="J9" s="1">
        <v>1414</v>
      </c>
      <c r="K9" s="1">
        <v>21050</v>
      </c>
      <c r="L9" s="1">
        <v>21050</v>
      </c>
      <c r="M9" s="1" t="s">
        <v>34</v>
      </c>
      <c r="N9" s="1" t="s">
        <v>61</v>
      </c>
      <c r="O9" s="1" t="s">
        <v>62</v>
      </c>
      <c r="P9" s="1" t="s">
        <v>27</v>
      </c>
      <c r="Q9" s="1">
        <v>2021</v>
      </c>
      <c r="R9" s="1">
        <v>12</v>
      </c>
      <c r="S9" s="1" t="s">
        <v>28</v>
      </c>
    </row>
    <row r="10" spans="1:19" x14ac:dyDescent="0.35">
      <c r="A10" s="1" t="s">
        <v>72</v>
      </c>
      <c r="B10" s="2">
        <v>45404</v>
      </c>
      <c r="C10" s="1" t="s">
        <v>73</v>
      </c>
      <c r="D10" s="1" t="s">
        <v>74</v>
      </c>
      <c r="E10" s="1" t="s">
        <v>32</v>
      </c>
      <c r="F10" s="1" t="s">
        <v>33</v>
      </c>
      <c r="G10" s="1">
        <v>7</v>
      </c>
      <c r="H10" s="1">
        <v>41518</v>
      </c>
      <c r="I10" s="1">
        <v>290626</v>
      </c>
      <c r="J10" s="1">
        <v>999</v>
      </c>
      <c r="K10" s="1">
        <v>289627</v>
      </c>
      <c r="L10" s="1">
        <v>289627</v>
      </c>
      <c r="M10" s="1" t="s">
        <v>24</v>
      </c>
      <c r="N10" s="1" t="s">
        <v>40</v>
      </c>
      <c r="O10" s="1" t="s">
        <v>75</v>
      </c>
      <c r="P10" s="1" t="s">
        <v>27</v>
      </c>
      <c r="Q10" s="1">
        <v>2024</v>
      </c>
      <c r="R10" s="1">
        <v>4</v>
      </c>
      <c r="S10" s="1" t="s">
        <v>35</v>
      </c>
    </row>
    <row r="11" spans="1:19" x14ac:dyDescent="0.35">
      <c r="A11" s="1" t="s">
        <v>76</v>
      </c>
      <c r="B11" s="2">
        <v>44612</v>
      </c>
      <c r="C11" s="1" t="s">
        <v>77</v>
      </c>
      <c r="D11" s="1" t="s">
        <v>78</v>
      </c>
      <c r="E11" s="1" t="s">
        <v>79</v>
      </c>
      <c r="F11" s="1" t="s">
        <v>23</v>
      </c>
      <c r="G11" s="1">
        <v>16</v>
      </c>
      <c r="H11" s="1">
        <v>3781</v>
      </c>
      <c r="I11" s="1">
        <v>60496</v>
      </c>
      <c r="J11" s="1">
        <v>11712</v>
      </c>
      <c r="K11" s="1">
        <v>48784</v>
      </c>
      <c r="L11" s="1">
        <v>48784</v>
      </c>
      <c r="M11" s="1" t="s">
        <v>24</v>
      </c>
      <c r="N11" s="1" t="s">
        <v>25</v>
      </c>
      <c r="O11" s="1" t="s">
        <v>80</v>
      </c>
      <c r="P11" s="1" t="s">
        <v>27</v>
      </c>
      <c r="Q11" s="1">
        <v>2022</v>
      </c>
      <c r="R11" s="1">
        <v>2</v>
      </c>
      <c r="S11" s="1" t="s">
        <v>68</v>
      </c>
    </row>
    <row r="12" spans="1:19" x14ac:dyDescent="0.35">
      <c r="A12" s="1" t="s">
        <v>81</v>
      </c>
      <c r="B12" s="2">
        <v>43687</v>
      </c>
      <c r="C12" s="1" t="s">
        <v>82</v>
      </c>
      <c r="D12" s="1" t="s">
        <v>83</v>
      </c>
      <c r="E12" s="1" t="s">
        <v>79</v>
      </c>
      <c r="F12" s="1" t="s">
        <v>23</v>
      </c>
      <c r="G12" s="1">
        <v>14</v>
      </c>
      <c r="H12" s="1">
        <v>51205</v>
      </c>
      <c r="I12" s="1">
        <v>716870</v>
      </c>
      <c r="J12" s="1">
        <v>121014</v>
      </c>
      <c r="K12" s="1">
        <v>595856</v>
      </c>
      <c r="L12" s="1">
        <v>595856</v>
      </c>
      <c r="M12" s="1" t="s">
        <v>84</v>
      </c>
      <c r="N12" s="1" t="s">
        <v>54</v>
      </c>
      <c r="O12" s="1" t="s">
        <v>67</v>
      </c>
      <c r="P12" s="1" t="s">
        <v>27</v>
      </c>
      <c r="Q12" s="1">
        <v>2019</v>
      </c>
      <c r="R12" s="1">
        <v>8</v>
      </c>
      <c r="S12" s="1" t="s">
        <v>56</v>
      </c>
    </row>
    <row r="13" spans="1:19" x14ac:dyDescent="0.35">
      <c r="A13" s="1" t="s">
        <v>85</v>
      </c>
      <c r="B13" s="2">
        <v>45166</v>
      </c>
      <c r="C13" s="1" t="s">
        <v>86</v>
      </c>
      <c r="D13" s="1" t="s">
        <v>87</v>
      </c>
      <c r="E13" s="1" t="s">
        <v>60</v>
      </c>
      <c r="F13" s="1" t="s">
        <v>46</v>
      </c>
      <c r="G13" s="1">
        <v>22</v>
      </c>
      <c r="H13" s="1">
        <v>13403</v>
      </c>
      <c r="I13" s="1">
        <v>294866</v>
      </c>
      <c r="J13" s="1">
        <v>27674</v>
      </c>
      <c r="K13" s="1">
        <v>267192</v>
      </c>
      <c r="L13" s="1">
        <v>267192</v>
      </c>
      <c r="M13" s="1" t="s">
        <v>47</v>
      </c>
      <c r="N13" s="1" t="s">
        <v>61</v>
      </c>
      <c r="O13" s="1" t="s">
        <v>88</v>
      </c>
      <c r="P13" s="1" t="s">
        <v>27</v>
      </c>
      <c r="Q13" s="1">
        <v>2023</v>
      </c>
      <c r="R13" s="1">
        <v>8</v>
      </c>
      <c r="S13" s="1" t="s">
        <v>56</v>
      </c>
    </row>
    <row r="14" spans="1:19" x14ac:dyDescent="0.35">
      <c r="A14" s="1" t="s">
        <v>89</v>
      </c>
      <c r="B14" s="2">
        <v>43983</v>
      </c>
      <c r="C14" s="1" t="s">
        <v>90</v>
      </c>
      <c r="D14" s="1" t="s">
        <v>91</v>
      </c>
      <c r="E14" s="1" t="s">
        <v>22</v>
      </c>
      <c r="F14" s="1" t="s">
        <v>23</v>
      </c>
      <c r="G14" s="1">
        <v>2</v>
      </c>
      <c r="H14" s="1">
        <v>11196</v>
      </c>
      <c r="I14" s="1">
        <v>22392</v>
      </c>
      <c r="J14" s="1">
        <v>1844</v>
      </c>
      <c r="K14" s="1">
        <v>20548</v>
      </c>
      <c r="L14" s="1">
        <v>20548</v>
      </c>
      <c r="M14" s="1" t="s">
        <v>66</v>
      </c>
      <c r="N14" s="1" t="s">
        <v>25</v>
      </c>
      <c r="O14" s="1" t="s">
        <v>26</v>
      </c>
      <c r="P14" s="1" t="s">
        <v>27</v>
      </c>
      <c r="Q14" s="1">
        <v>2020</v>
      </c>
      <c r="R14" s="1">
        <v>6</v>
      </c>
      <c r="S14" s="1" t="s">
        <v>35</v>
      </c>
    </row>
    <row r="15" spans="1:19" x14ac:dyDescent="0.35">
      <c r="A15" s="1" t="s">
        <v>92</v>
      </c>
      <c r="B15" s="2">
        <v>45040</v>
      </c>
      <c r="C15" s="1" t="s">
        <v>93</v>
      </c>
      <c r="D15" s="1" t="s">
        <v>94</v>
      </c>
      <c r="E15" s="1" t="s">
        <v>79</v>
      </c>
      <c r="F15" s="1" t="s">
        <v>23</v>
      </c>
      <c r="G15" s="1">
        <v>13</v>
      </c>
      <c r="H15" s="1">
        <v>52318</v>
      </c>
      <c r="I15" s="1">
        <v>680134</v>
      </c>
      <c r="J15" s="1">
        <v>107397</v>
      </c>
      <c r="K15" s="1">
        <v>572737</v>
      </c>
      <c r="L15" s="1">
        <v>572737</v>
      </c>
      <c r="M15" s="1" t="s">
        <v>39</v>
      </c>
      <c r="N15" s="1" t="s">
        <v>61</v>
      </c>
      <c r="O15" s="1" t="s">
        <v>62</v>
      </c>
      <c r="P15" s="1" t="s">
        <v>27</v>
      </c>
      <c r="Q15" s="1">
        <v>2023</v>
      </c>
      <c r="R15" s="1">
        <v>4</v>
      </c>
      <c r="S15" s="1" t="s">
        <v>35</v>
      </c>
    </row>
    <row r="16" spans="1:19" x14ac:dyDescent="0.35">
      <c r="A16" s="1" t="s">
        <v>95</v>
      </c>
      <c r="B16" s="2">
        <v>45187</v>
      </c>
      <c r="C16" s="1" t="s">
        <v>96</v>
      </c>
      <c r="D16" s="1" t="s">
        <v>97</v>
      </c>
      <c r="E16" s="1" t="s">
        <v>79</v>
      </c>
      <c r="F16" s="1" t="s">
        <v>23</v>
      </c>
      <c r="G16" s="1">
        <v>29</v>
      </c>
      <c r="H16" s="1">
        <v>58982</v>
      </c>
      <c r="I16" s="1">
        <v>1710478</v>
      </c>
      <c r="J16" s="1">
        <v>61694</v>
      </c>
      <c r="K16" s="1">
        <v>1648784</v>
      </c>
      <c r="L16" s="1">
        <v>1648784</v>
      </c>
      <c r="M16" s="1" t="s">
        <v>47</v>
      </c>
      <c r="N16" s="1" t="s">
        <v>54</v>
      </c>
      <c r="O16" s="1" t="s">
        <v>67</v>
      </c>
      <c r="P16" s="1" t="s">
        <v>27</v>
      </c>
      <c r="Q16" s="1">
        <v>2023</v>
      </c>
      <c r="R16" s="1">
        <v>9</v>
      </c>
      <c r="S16" s="1" t="s">
        <v>56</v>
      </c>
    </row>
    <row r="17" spans="1:19" x14ac:dyDescent="0.35">
      <c r="A17" s="1" t="s">
        <v>98</v>
      </c>
      <c r="B17" s="2">
        <v>44889</v>
      </c>
      <c r="C17" s="1" t="s">
        <v>99</v>
      </c>
      <c r="D17" s="1" t="s">
        <v>100</v>
      </c>
      <c r="E17" s="1" t="s">
        <v>53</v>
      </c>
      <c r="F17" s="1" t="s">
        <v>33</v>
      </c>
      <c r="G17" s="1">
        <v>26</v>
      </c>
      <c r="H17" s="1">
        <v>5842</v>
      </c>
      <c r="I17" s="1">
        <v>151892</v>
      </c>
      <c r="J17" s="1">
        <v>5061</v>
      </c>
      <c r="K17" s="1">
        <v>146831</v>
      </c>
      <c r="L17" s="1">
        <v>146831</v>
      </c>
      <c r="M17" s="1" t="s">
        <v>47</v>
      </c>
      <c r="N17" s="1" t="s">
        <v>101</v>
      </c>
      <c r="O17" s="1" t="s">
        <v>102</v>
      </c>
      <c r="P17" s="1" t="s">
        <v>27</v>
      </c>
      <c r="Q17" s="1">
        <v>2022</v>
      </c>
      <c r="R17" s="1">
        <v>11</v>
      </c>
      <c r="S17" s="1" t="s">
        <v>28</v>
      </c>
    </row>
    <row r="18" spans="1:19" x14ac:dyDescent="0.35">
      <c r="A18" s="1" t="s">
        <v>103</v>
      </c>
      <c r="B18" s="2">
        <v>43931</v>
      </c>
      <c r="C18" s="1" t="s">
        <v>104</v>
      </c>
      <c r="D18" s="1" t="s">
        <v>105</v>
      </c>
      <c r="E18" s="1" t="s">
        <v>106</v>
      </c>
      <c r="F18" s="1" t="s">
        <v>107</v>
      </c>
      <c r="G18" s="1">
        <v>5</v>
      </c>
      <c r="H18" s="1">
        <v>44977</v>
      </c>
      <c r="I18" s="1">
        <v>224885</v>
      </c>
      <c r="J18" s="1">
        <v>1988</v>
      </c>
      <c r="K18" s="1">
        <v>222897</v>
      </c>
      <c r="L18" s="1">
        <v>222897</v>
      </c>
      <c r="M18" s="1" t="s">
        <v>66</v>
      </c>
      <c r="N18" s="1" t="s">
        <v>101</v>
      </c>
      <c r="O18" s="1" t="s">
        <v>108</v>
      </c>
      <c r="P18" s="1" t="s">
        <v>27</v>
      </c>
      <c r="Q18" s="1">
        <v>2020</v>
      </c>
      <c r="R18" s="1">
        <v>4</v>
      </c>
      <c r="S18" s="1" t="s">
        <v>35</v>
      </c>
    </row>
    <row r="19" spans="1:19" x14ac:dyDescent="0.35">
      <c r="A19" s="1" t="s">
        <v>109</v>
      </c>
      <c r="B19" s="2">
        <v>45543</v>
      </c>
      <c r="C19" s="1" t="s">
        <v>110</v>
      </c>
      <c r="D19" s="1" t="s">
        <v>111</v>
      </c>
      <c r="E19" s="1" t="s">
        <v>32</v>
      </c>
      <c r="F19" s="1" t="s">
        <v>33</v>
      </c>
      <c r="G19" s="1">
        <v>10</v>
      </c>
      <c r="H19" s="1">
        <v>40913</v>
      </c>
      <c r="I19" s="1">
        <v>409130</v>
      </c>
      <c r="J19" s="1">
        <v>81178</v>
      </c>
      <c r="K19" s="1">
        <v>327952</v>
      </c>
      <c r="L19" s="1">
        <v>327952</v>
      </c>
      <c r="M19" s="1" t="s">
        <v>66</v>
      </c>
      <c r="N19" s="1" t="s">
        <v>61</v>
      </c>
      <c r="O19" s="1" t="s">
        <v>88</v>
      </c>
      <c r="P19" s="1" t="s">
        <v>27</v>
      </c>
      <c r="Q19" s="1">
        <v>2024</v>
      </c>
      <c r="R19" s="1">
        <v>9</v>
      </c>
      <c r="S19" s="1" t="s">
        <v>56</v>
      </c>
    </row>
    <row r="20" spans="1:19" x14ac:dyDescent="0.35">
      <c r="A20" s="1" t="s">
        <v>112</v>
      </c>
      <c r="B20" s="2">
        <v>45338</v>
      </c>
      <c r="C20" s="1" t="s">
        <v>113</v>
      </c>
      <c r="D20" s="1" t="s">
        <v>114</v>
      </c>
      <c r="E20" s="1" t="s">
        <v>106</v>
      </c>
      <c r="F20" s="1" t="s">
        <v>107</v>
      </c>
      <c r="G20" s="1">
        <v>5</v>
      </c>
      <c r="H20" s="1">
        <v>7133</v>
      </c>
      <c r="I20" s="1">
        <v>35665</v>
      </c>
      <c r="J20" s="1">
        <v>3557</v>
      </c>
      <c r="K20" s="1">
        <v>32108</v>
      </c>
      <c r="L20" s="1">
        <v>32108</v>
      </c>
      <c r="M20" s="1" t="s">
        <v>84</v>
      </c>
      <c r="N20" s="1" t="s">
        <v>61</v>
      </c>
      <c r="O20" s="1" t="s">
        <v>62</v>
      </c>
      <c r="P20" s="1" t="s">
        <v>27</v>
      </c>
      <c r="Q20" s="1">
        <v>2024</v>
      </c>
      <c r="R20" s="1">
        <v>2</v>
      </c>
      <c r="S20" s="1" t="s">
        <v>68</v>
      </c>
    </row>
    <row r="21" spans="1:19" x14ac:dyDescent="0.35">
      <c r="A21" s="1" t="s">
        <v>115</v>
      </c>
      <c r="B21" s="2">
        <v>43512</v>
      </c>
      <c r="C21" s="1" t="s">
        <v>116</v>
      </c>
      <c r="D21" s="1" t="s">
        <v>117</v>
      </c>
      <c r="E21" s="1" t="s">
        <v>32</v>
      </c>
      <c r="F21" s="1" t="s">
        <v>33</v>
      </c>
      <c r="G21" s="1">
        <v>16</v>
      </c>
      <c r="H21" s="1">
        <v>32108</v>
      </c>
      <c r="I21" s="1">
        <v>513728</v>
      </c>
      <c r="J21" s="1">
        <v>87548</v>
      </c>
      <c r="K21" s="1">
        <v>426180</v>
      </c>
      <c r="L21" s="1">
        <v>426180</v>
      </c>
      <c r="M21" s="1" t="s">
        <v>84</v>
      </c>
      <c r="N21" s="1" t="s">
        <v>48</v>
      </c>
      <c r="O21" s="1" t="s">
        <v>49</v>
      </c>
      <c r="P21" s="1" t="s">
        <v>27</v>
      </c>
      <c r="Q21" s="1">
        <v>2019</v>
      </c>
      <c r="R21" s="1">
        <v>2</v>
      </c>
      <c r="S21" s="1" t="s">
        <v>68</v>
      </c>
    </row>
    <row r="22" spans="1:19" x14ac:dyDescent="0.35">
      <c r="A22" s="1" t="s">
        <v>118</v>
      </c>
      <c r="B22" s="2">
        <v>44754</v>
      </c>
      <c r="C22" s="1" t="s">
        <v>119</v>
      </c>
      <c r="D22" s="1" t="s">
        <v>120</v>
      </c>
      <c r="E22" s="1" t="s">
        <v>53</v>
      </c>
      <c r="F22" s="1" t="s">
        <v>33</v>
      </c>
      <c r="G22" s="1">
        <v>12</v>
      </c>
      <c r="H22" s="1">
        <v>31157</v>
      </c>
      <c r="I22" s="1">
        <v>373884</v>
      </c>
      <c r="J22" s="1">
        <v>54767</v>
      </c>
      <c r="K22" s="1">
        <v>319117</v>
      </c>
      <c r="L22" s="1">
        <v>319117</v>
      </c>
      <c r="M22" s="1" t="s">
        <v>47</v>
      </c>
      <c r="N22" s="1" t="s">
        <v>48</v>
      </c>
      <c r="O22" s="1" t="s">
        <v>49</v>
      </c>
      <c r="P22" s="1" t="s">
        <v>27</v>
      </c>
      <c r="Q22" s="1">
        <v>2022</v>
      </c>
      <c r="R22" s="1">
        <v>7</v>
      </c>
      <c r="S22" s="1" t="s">
        <v>56</v>
      </c>
    </row>
    <row r="23" spans="1:19" x14ac:dyDescent="0.35">
      <c r="A23" s="1" t="s">
        <v>121</v>
      </c>
      <c r="B23" s="2">
        <v>43976</v>
      </c>
      <c r="C23" s="1" t="s">
        <v>122</v>
      </c>
      <c r="D23" s="1" t="s">
        <v>123</v>
      </c>
      <c r="E23" s="1" t="s">
        <v>124</v>
      </c>
      <c r="F23" s="1" t="s">
        <v>107</v>
      </c>
      <c r="G23" s="1">
        <v>5</v>
      </c>
      <c r="H23" s="1">
        <v>39776</v>
      </c>
      <c r="I23" s="1">
        <v>198880</v>
      </c>
      <c r="J23" s="1">
        <v>6809</v>
      </c>
      <c r="K23" s="1">
        <v>192071</v>
      </c>
      <c r="L23" s="1">
        <v>192071</v>
      </c>
      <c r="M23" s="1" t="s">
        <v>66</v>
      </c>
      <c r="N23" s="1" t="s">
        <v>40</v>
      </c>
      <c r="O23" s="1" t="s">
        <v>125</v>
      </c>
      <c r="P23" s="1" t="s">
        <v>27</v>
      </c>
      <c r="Q23" s="1">
        <v>2020</v>
      </c>
      <c r="R23" s="1">
        <v>5</v>
      </c>
      <c r="S23" s="1" t="s">
        <v>35</v>
      </c>
    </row>
    <row r="24" spans="1:19" x14ac:dyDescent="0.35">
      <c r="A24" s="1" t="s">
        <v>126</v>
      </c>
      <c r="B24" s="2">
        <v>43897</v>
      </c>
      <c r="C24" s="1" t="s">
        <v>127</v>
      </c>
      <c r="D24" s="1" t="s">
        <v>52</v>
      </c>
      <c r="E24" s="1" t="s">
        <v>32</v>
      </c>
      <c r="F24" s="1" t="s">
        <v>33</v>
      </c>
      <c r="G24" s="1">
        <v>24</v>
      </c>
      <c r="H24" s="1">
        <v>30790</v>
      </c>
      <c r="I24" s="1">
        <v>738960</v>
      </c>
      <c r="J24" s="1">
        <v>91</v>
      </c>
      <c r="K24" s="1">
        <v>738869</v>
      </c>
      <c r="L24" s="1">
        <v>738869</v>
      </c>
      <c r="M24" s="1" t="s">
        <v>24</v>
      </c>
      <c r="N24" s="1" t="s">
        <v>61</v>
      </c>
      <c r="O24" s="1" t="s">
        <v>88</v>
      </c>
      <c r="P24" s="1" t="s">
        <v>27</v>
      </c>
      <c r="Q24" s="1">
        <v>2020</v>
      </c>
      <c r="R24" s="1">
        <v>3</v>
      </c>
      <c r="S24" s="1" t="s">
        <v>68</v>
      </c>
    </row>
    <row r="25" spans="1:19" x14ac:dyDescent="0.35">
      <c r="A25" s="1" t="s">
        <v>128</v>
      </c>
      <c r="B25" s="2">
        <v>45603</v>
      </c>
      <c r="C25" s="1" t="s">
        <v>129</v>
      </c>
      <c r="D25" s="1" t="s">
        <v>130</v>
      </c>
      <c r="E25" s="1" t="s">
        <v>32</v>
      </c>
      <c r="F25" s="1" t="s">
        <v>33</v>
      </c>
      <c r="G25" s="1">
        <v>26</v>
      </c>
      <c r="H25" s="1">
        <v>16831</v>
      </c>
      <c r="I25" s="1">
        <v>437606</v>
      </c>
      <c r="J25" s="1">
        <v>14004</v>
      </c>
      <c r="K25" s="1">
        <v>423602</v>
      </c>
      <c r="L25" s="1">
        <v>423602</v>
      </c>
      <c r="M25" s="1" t="s">
        <v>84</v>
      </c>
      <c r="N25" s="1" t="s">
        <v>61</v>
      </c>
      <c r="O25" s="1" t="s">
        <v>62</v>
      </c>
      <c r="P25" s="1" t="s">
        <v>27</v>
      </c>
      <c r="Q25" s="1">
        <v>2024</v>
      </c>
      <c r="R25" s="1">
        <v>11</v>
      </c>
      <c r="S25" s="1" t="s">
        <v>28</v>
      </c>
    </row>
    <row r="26" spans="1:19" x14ac:dyDescent="0.35">
      <c r="A26" s="1" t="s">
        <v>131</v>
      </c>
      <c r="B26" s="2">
        <v>44584</v>
      </c>
      <c r="C26" s="1" t="s">
        <v>132</v>
      </c>
      <c r="D26" s="1" t="s">
        <v>133</v>
      </c>
      <c r="E26" s="1" t="s">
        <v>53</v>
      </c>
      <c r="F26" s="1" t="s">
        <v>33</v>
      </c>
      <c r="G26" s="1">
        <v>11</v>
      </c>
      <c r="H26" s="1">
        <v>55057</v>
      </c>
      <c r="I26" s="1">
        <v>605627</v>
      </c>
      <c r="J26" s="1">
        <v>56209</v>
      </c>
      <c r="K26" s="1">
        <v>549418</v>
      </c>
      <c r="L26" s="1">
        <v>549418</v>
      </c>
      <c r="M26" s="1" t="s">
        <v>34</v>
      </c>
      <c r="N26" s="1" t="s">
        <v>25</v>
      </c>
      <c r="O26" s="1" t="s">
        <v>80</v>
      </c>
      <c r="P26" s="1" t="s">
        <v>27</v>
      </c>
      <c r="Q26" s="1">
        <v>2022</v>
      </c>
      <c r="R26" s="1">
        <v>1</v>
      </c>
      <c r="S26" s="1" t="s">
        <v>68</v>
      </c>
    </row>
    <row r="27" spans="1:19" x14ac:dyDescent="0.35">
      <c r="A27" s="1" t="s">
        <v>134</v>
      </c>
      <c r="B27" s="2">
        <v>45355</v>
      </c>
      <c r="C27" s="1" t="s">
        <v>135</v>
      </c>
      <c r="D27" s="1" t="s">
        <v>136</v>
      </c>
      <c r="E27" s="1" t="s">
        <v>45</v>
      </c>
      <c r="F27" s="1" t="s">
        <v>46</v>
      </c>
      <c r="G27" s="1">
        <v>25</v>
      </c>
      <c r="H27" s="1">
        <v>8917</v>
      </c>
      <c r="I27" s="1">
        <v>222925</v>
      </c>
      <c r="J27" s="1">
        <v>28189</v>
      </c>
      <c r="K27" s="1">
        <v>194736</v>
      </c>
      <c r="L27" s="1">
        <v>194736</v>
      </c>
      <c r="M27" s="1" t="s">
        <v>39</v>
      </c>
      <c r="N27" s="1" t="s">
        <v>61</v>
      </c>
      <c r="O27" s="1" t="s">
        <v>62</v>
      </c>
      <c r="P27" s="1" t="s">
        <v>27</v>
      </c>
      <c r="Q27" s="1">
        <v>2024</v>
      </c>
      <c r="R27" s="1">
        <v>3</v>
      </c>
      <c r="S27" s="1" t="s">
        <v>68</v>
      </c>
    </row>
    <row r="28" spans="1:19" x14ac:dyDescent="0.35">
      <c r="A28" s="1" t="s">
        <v>137</v>
      </c>
      <c r="B28" s="2">
        <v>44847</v>
      </c>
      <c r="C28" s="1" t="s">
        <v>138</v>
      </c>
      <c r="D28" s="1" t="s">
        <v>139</v>
      </c>
      <c r="E28" s="1" t="s">
        <v>22</v>
      </c>
      <c r="F28" s="1" t="s">
        <v>23</v>
      </c>
      <c r="G28" s="1">
        <v>19</v>
      </c>
      <c r="H28" s="1">
        <v>52705</v>
      </c>
      <c r="I28" s="1">
        <v>1001395</v>
      </c>
      <c r="J28" s="1">
        <v>106322</v>
      </c>
      <c r="K28" s="1">
        <v>895073</v>
      </c>
      <c r="L28" s="1">
        <v>895073</v>
      </c>
      <c r="M28" s="1" t="s">
        <v>34</v>
      </c>
      <c r="N28" s="1" t="s">
        <v>54</v>
      </c>
      <c r="O28" s="1" t="s">
        <v>55</v>
      </c>
      <c r="P28" s="1" t="s">
        <v>27</v>
      </c>
      <c r="Q28" s="1">
        <v>2022</v>
      </c>
      <c r="R28" s="1">
        <v>10</v>
      </c>
      <c r="S28" s="1" t="s">
        <v>28</v>
      </c>
    </row>
    <row r="29" spans="1:19" x14ac:dyDescent="0.35">
      <c r="A29" s="1" t="s">
        <v>140</v>
      </c>
      <c r="B29" s="2">
        <v>44224</v>
      </c>
      <c r="C29" s="1" t="s">
        <v>141</v>
      </c>
      <c r="D29" s="1" t="s">
        <v>142</v>
      </c>
      <c r="E29" s="1" t="s">
        <v>79</v>
      </c>
      <c r="F29" s="1" t="s">
        <v>23</v>
      </c>
      <c r="G29" s="1">
        <v>18</v>
      </c>
      <c r="H29" s="1">
        <v>40449</v>
      </c>
      <c r="I29" s="1">
        <v>728082</v>
      </c>
      <c r="J29" s="1">
        <v>52228</v>
      </c>
      <c r="K29" s="1">
        <v>675854</v>
      </c>
      <c r="L29" s="1">
        <v>675854</v>
      </c>
      <c r="M29" s="1" t="s">
        <v>24</v>
      </c>
      <c r="N29" s="1" t="s">
        <v>40</v>
      </c>
      <c r="O29" s="1" t="s">
        <v>75</v>
      </c>
      <c r="P29" s="1" t="s">
        <v>27</v>
      </c>
      <c r="Q29" s="1">
        <v>2021</v>
      </c>
      <c r="R29" s="1">
        <v>1</v>
      </c>
      <c r="S29" s="1" t="s">
        <v>68</v>
      </c>
    </row>
    <row r="30" spans="1:19" x14ac:dyDescent="0.35">
      <c r="A30" s="1" t="s">
        <v>143</v>
      </c>
      <c r="B30" s="2">
        <v>43715</v>
      </c>
      <c r="C30" s="1" t="s">
        <v>144</v>
      </c>
      <c r="D30" s="1" t="s">
        <v>145</v>
      </c>
      <c r="E30" s="1" t="s">
        <v>45</v>
      </c>
      <c r="F30" s="1" t="s">
        <v>46</v>
      </c>
      <c r="G30" s="1">
        <v>25</v>
      </c>
      <c r="H30" s="1">
        <v>38864</v>
      </c>
      <c r="I30" s="1">
        <v>971600</v>
      </c>
      <c r="J30" s="1">
        <v>93262</v>
      </c>
      <c r="K30" s="1">
        <v>878338</v>
      </c>
      <c r="L30" s="1">
        <v>878338</v>
      </c>
      <c r="M30" s="1" t="s">
        <v>66</v>
      </c>
      <c r="N30" s="1" t="s">
        <v>54</v>
      </c>
      <c r="O30" s="1" t="s">
        <v>55</v>
      </c>
      <c r="P30" s="1" t="s">
        <v>27</v>
      </c>
      <c r="Q30" s="1">
        <v>2019</v>
      </c>
      <c r="R30" s="1">
        <v>9</v>
      </c>
      <c r="S30" s="1" t="s">
        <v>56</v>
      </c>
    </row>
    <row r="31" spans="1:19" x14ac:dyDescent="0.35">
      <c r="A31" s="1" t="s">
        <v>146</v>
      </c>
      <c r="B31" s="2">
        <v>43779</v>
      </c>
      <c r="C31" s="1" t="s">
        <v>147</v>
      </c>
      <c r="D31" s="1" t="s">
        <v>148</v>
      </c>
      <c r="E31" s="1" t="s">
        <v>79</v>
      </c>
      <c r="F31" s="1" t="s">
        <v>23</v>
      </c>
      <c r="G31" s="1">
        <v>8</v>
      </c>
      <c r="H31" s="1">
        <v>3662</v>
      </c>
      <c r="I31" s="1">
        <v>29296</v>
      </c>
      <c r="J31" s="1">
        <v>5288</v>
      </c>
      <c r="K31" s="1">
        <v>24008</v>
      </c>
      <c r="L31" s="1">
        <v>24008</v>
      </c>
      <c r="M31" s="1" t="s">
        <v>34</v>
      </c>
      <c r="N31" s="1" t="s">
        <v>40</v>
      </c>
      <c r="O31" s="1" t="s">
        <v>125</v>
      </c>
      <c r="P31" s="1" t="s">
        <v>27</v>
      </c>
      <c r="Q31" s="1">
        <v>2019</v>
      </c>
      <c r="R31" s="1">
        <v>11</v>
      </c>
      <c r="S31" s="1" t="s">
        <v>28</v>
      </c>
    </row>
    <row r="32" spans="1:19" x14ac:dyDescent="0.35">
      <c r="A32" s="1" t="s">
        <v>149</v>
      </c>
      <c r="B32" s="2">
        <v>44594</v>
      </c>
      <c r="C32" s="1" t="s">
        <v>150</v>
      </c>
      <c r="D32" s="1" t="s">
        <v>151</v>
      </c>
      <c r="E32" s="1" t="s">
        <v>45</v>
      </c>
      <c r="F32" s="1" t="s">
        <v>46</v>
      </c>
      <c r="G32" s="1">
        <v>23</v>
      </c>
      <c r="H32" s="1">
        <v>49753</v>
      </c>
      <c r="I32" s="1">
        <v>1144319</v>
      </c>
      <c r="J32" s="1">
        <v>208117</v>
      </c>
      <c r="K32" s="1">
        <v>936202</v>
      </c>
      <c r="L32" s="1">
        <v>936202</v>
      </c>
      <c r="M32" s="1" t="s">
        <v>47</v>
      </c>
      <c r="N32" s="1" t="s">
        <v>101</v>
      </c>
      <c r="O32" s="1" t="s">
        <v>102</v>
      </c>
      <c r="P32" s="1" t="s">
        <v>27</v>
      </c>
      <c r="Q32" s="1">
        <v>2022</v>
      </c>
      <c r="R32" s="1">
        <v>2</v>
      </c>
      <c r="S32" s="1" t="s">
        <v>68</v>
      </c>
    </row>
    <row r="33" spans="1:19" x14ac:dyDescent="0.35">
      <c r="A33" s="1" t="s">
        <v>152</v>
      </c>
      <c r="B33" s="2">
        <v>44504</v>
      </c>
      <c r="C33" s="1" t="s">
        <v>153</v>
      </c>
      <c r="D33" s="1" t="s">
        <v>154</v>
      </c>
      <c r="E33" s="1" t="s">
        <v>124</v>
      </c>
      <c r="F33" s="1" t="s">
        <v>107</v>
      </c>
      <c r="G33" s="1">
        <v>30</v>
      </c>
      <c r="H33" s="1">
        <v>21089</v>
      </c>
      <c r="I33" s="1">
        <v>632670</v>
      </c>
      <c r="J33" s="1">
        <v>66128</v>
      </c>
      <c r="K33" s="1">
        <v>566542</v>
      </c>
      <c r="L33" s="1">
        <v>566542</v>
      </c>
      <c r="M33" s="1" t="s">
        <v>66</v>
      </c>
      <c r="N33" s="1" t="s">
        <v>25</v>
      </c>
      <c r="O33" s="1" t="s">
        <v>80</v>
      </c>
      <c r="P33" s="1" t="s">
        <v>27</v>
      </c>
      <c r="Q33" s="1">
        <v>2021</v>
      </c>
      <c r="R33" s="1">
        <v>11</v>
      </c>
      <c r="S33" s="1" t="s">
        <v>28</v>
      </c>
    </row>
    <row r="34" spans="1:19" x14ac:dyDescent="0.35">
      <c r="A34" s="1" t="s">
        <v>155</v>
      </c>
      <c r="B34" s="2">
        <v>44200</v>
      </c>
      <c r="C34" s="1" t="s">
        <v>156</v>
      </c>
      <c r="D34" s="1" t="s">
        <v>157</v>
      </c>
      <c r="E34" s="1" t="s">
        <v>79</v>
      </c>
      <c r="F34" s="1" t="s">
        <v>23</v>
      </c>
      <c r="G34" s="1">
        <v>17</v>
      </c>
      <c r="H34" s="1">
        <v>47582</v>
      </c>
      <c r="I34" s="1">
        <v>808894</v>
      </c>
      <c r="J34" s="1">
        <v>26998</v>
      </c>
      <c r="K34" s="1">
        <v>781896</v>
      </c>
      <c r="L34" s="1">
        <v>781896</v>
      </c>
      <c r="M34" s="1" t="s">
        <v>39</v>
      </c>
      <c r="N34" s="1" t="s">
        <v>61</v>
      </c>
      <c r="O34" s="1" t="s">
        <v>88</v>
      </c>
      <c r="P34" s="1" t="s">
        <v>27</v>
      </c>
      <c r="Q34" s="1">
        <v>2021</v>
      </c>
      <c r="R34" s="1">
        <v>1</v>
      </c>
      <c r="S34" s="1" t="s">
        <v>68</v>
      </c>
    </row>
    <row r="35" spans="1:19" x14ac:dyDescent="0.35">
      <c r="A35" s="1" t="s">
        <v>158</v>
      </c>
      <c r="B35" s="2">
        <v>44530</v>
      </c>
      <c r="C35" s="1" t="s">
        <v>159</v>
      </c>
      <c r="D35" s="1" t="s">
        <v>160</v>
      </c>
      <c r="E35" s="1" t="s">
        <v>53</v>
      </c>
      <c r="F35" s="1" t="s">
        <v>33</v>
      </c>
      <c r="G35" s="1">
        <v>5</v>
      </c>
      <c r="H35" s="1">
        <v>17593</v>
      </c>
      <c r="I35" s="1">
        <v>87965</v>
      </c>
      <c r="J35" s="1">
        <v>12447</v>
      </c>
      <c r="K35" s="1">
        <v>75518</v>
      </c>
      <c r="L35" s="1">
        <v>75518</v>
      </c>
      <c r="M35" s="1" t="s">
        <v>39</v>
      </c>
      <c r="N35" s="1" t="s">
        <v>101</v>
      </c>
      <c r="O35" s="1" t="s">
        <v>102</v>
      </c>
      <c r="P35" s="1" t="s">
        <v>27</v>
      </c>
      <c r="Q35" s="1">
        <v>2021</v>
      </c>
      <c r="R35" s="1">
        <v>11</v>
      </c>
      <c r="S35" s="1" t="s">
        <v>28</v>
      </c>
    </row>
    <row r="36" spans="1:19" x14ac:dyDescent="0.35">
      <c r="A36" s="1" t="s">
        <v>161</v>
      </c>
      <c r="B36" s="2">
        <v>44836</v>
      </c>
      <c r="C36" s="1" t="s">
        <v>162</v>
      </c>
      <c r="D36" s="1" t="s">
        <v>163</v>
      </c>
      <c r="E36" s="1" t="s">
        <v>22</v>
      </c>
      <c r="F36" s="1" t="s">
        <v>23</v>
      </c>
      <c r="G36" s="1">
        <v>1</v>
      </c>
      <c r="H36" s="1">
        <v>5179</v>
      </c>
      <c r="I36" s="1">
        <v>5179</v>
      </c>
      <c r="J36" s="1">
        <v>387</v>
      </c>
      <c r="K36" s="1">
        <v>4792</v>
      </c>
      <c r="L36" s="1">
        <v>4792</v>
      </c>
      <c r="M36" s="1" t="s">
        <v>34</v>
      </c>
      <c r="N36" s="1" t="s">
        <v>48</v>
      </c>
      <c r="O36" s="1" t="s">
        <v>49</v>
      </c>
      <c r="P36" s="1" t="s">
        <v>27</v>
      </c>
      <c r="Q36" s="1">
        <v>2022</v>
      </c>
      <c r="R36" s="1">
        <v>10</v>
      </c>
      <c r="S36" s="1" t="s">
        <v>28</v>
      </c>
    </row>
    <row r="37" spans="1:19" x14ac:dyDescent="0.35">
      <c r="A37" s="1" t="s">
        <v>164</v>
      </c>
      <c r="B37" s="2">
        <v>43849</v>
      </c>
      <c r="C37" s="1" t="s">
        <v>165</v>
      </c>
      <c r="D37" s="1" t="s">
        <v>166</v>
      </c>
      <c r="E37" s="1" t="s">
        <v>124</v>
      </c>
      <c r="F37" s="1" t="s">
        <v>107</v>
      </c>
      <c r="G37" s="1">
        <v>4</v>
      </c>
      <c r="H37" s="1">
        <v>4204</v>
      </c>
      <c r="I37" s="1">
        <v>16816</v>
      </c>
      <c r="J37" s="1">
        <v>269</v>
      </c>
      <c r="K37" s="1">
        <v>16547</v>
      </c>
      <c r="L37" s="1">
        <v>16547</v>
      </c>
      <c r="M37" s="1" t="s">
        <v>84</v>
      </c>
      <c r="N37" s="1" t="s">
        <v>61</v>
      </c>
      <c r="O37" s="1" t="s">
        <v>88</v>
      </c>
      <c r="P37" s="1" t="s">
        <v>27</v>
      </c>
      <c r="Q37" s="1">
        <v>2020</v>
      </c>
      <c r="R37" s="1">
        <v>1</v>
      </c>
      <c r="S37" s="1" t="s">
        <v>68</v>
      </c>
    </row>
    <row r="38" spans="1:19" x14ac:dyDescent="0.35">
      <c r="A38" s="1" t="s">
        <v>167</v>
      </c>
      <c r="B38" s="2">
        <v>44341</v>
      </c>
      <c r="C38" s="1" t="s">
        <v>168</v>
      </c>
      <c r="D38" s="1" t="s">
        <v>169</v>
      </c>
      <c r="E38" s="1" t="s">
        <v>22</v>
      </c>
      <c r="F38" s="1" t="s">
        <v>23</v>
      </c>
      <c r="G38" s="1">
        <v>12</v>
      </c>
      <c r="H38" s="1">
        <v>21133</v>
      </c>
      <c r="I38" s="1">
        <v>253596</v>
      </c>
      <c r="J38" s="1">
        <v>25523</v>
      </c>
      <c r="K38" s="1">
        <v>228073</v>
      </c>
      <c r="L38" s="1">
        <v>228073</v>
      </c>
      <c r="M38" s="1" t="s">
        <v>47</v>
      </c>
      <c r="N38" s="1" t="s">
        <v>101</v>
      </c>
      <c r="O38" s="1" t="s">
        <v>108</v>
      </c>
      <c r="P38" s="1" t="s">
        <v>27</v>
      </c>
      <c r="Q38" s="1">
        <v>2021</v>
      </c>
      <c r="R38" s="1">
        <v>5</v>
      </c>
      <c r="S38" s="1" t="s">
        <v>35</v>
      </c>
    </row>
    <row r="39" spans="1:19" x14ac:dyDescent="0.35">
      <c r="A39" s="1" t="s">
        <v>170</v>
      </c>
      <c r="B39" s="2">
        <v>45562</v>
      </c>
      <c r="C39" s="1" t="s">
        <v>171</v>
      </c>
      <c r="D39" s="1" t="s">
        <v>172</v>
      </c>
      <c r="E39" s="1" t="s">
        <v>22</v>
      </c>
      <c r="F39" s="1" t="s">
        <v>23</v>
      </c>
      <c r="G39" s="1">
        <v>4</v>
      </c>
      <c r="H39" s="1">
        <v>25873</v>
      </c>
      <c r="I39" s="1">
        <v>103492</v>
      </c>
      <c r="J39" s="1">
        <v>16053</v>
      </c>
      <c r="K39" s="1">
        <v>87439</v>
      </c>
      <c r="L39" s="1">
        <v>87439</v>
      </c>
      <c r="M39" s="1" t="s">
        <v>24</v>
      </c>
      <c r="N39" s="1" t="s">
        <v>40</v>
      </c>
      <c r="O39" s="1" t="s">
        <v>125</v>
      </c>
      <c r="P39" s="1" t="s">
        <v>27</v>
      </c>
      <c r="Q39" s="1">
        <v>2024</v>
      </c>
      <c r="R39" s="1">
        <v>9</v>
      </c>
      <c r="S39" s="1" t="s">
        <v>56</v>
      </c>
    </row>
    <row r="40" spans="1:19" x14ac:dyDescent="0.35">
      <c r="A40" s="1" t="s">
        <v>173</v>
      </c>
      <c r="B40" s="2">
        <v>44712</v>
      </c>
      <c r="C40" s="1" t="s">
        <v>174</v>
      </c>
      <c r="D40" s="1" t="s">
        <v>175</v>
      </c>
      <c r="E40" s="1" t="s">
        <v>124</v>
      </c>
      <c r="F40" s="1" t="s">
        <v>107</v>
      </c>
      <c r="G40" s="1">
        <v>19</v>
      </c>
      <c r="H40" s="1">
        <v>38154</v>
      </c>
      <c r="I40" s="1">
        <v>724926</v>
      </c>
      <c r="J40" s="1">
        <v>92186</v>
      </c>
      <c r="K40" s="1">
        <v>632740</v>
      </c>
      <c r="L40" s="1">
        <v>632740</v>
      </c>
      <c r="M40" s="1" t="s">
        <v>39</v>
      </c>
      <c r="N40" s="1" t="s">
        <v>54</v>
      </c>
      <c r="O40" s="1" t="s">
        <v>67</v>
      </c>
      <c r="P40" s="1" t="s">
        <v>27</v>
      </c>
      <c r="Q40" s="1">
        <v>2022</v>
      </c>
      <c r="R40" s="1">
        <v>5</v>
      </c>
      <c r="S40" s="1" t="s">
        <v>35</v>
      </c>
    </row>
    <row r="41" spans="1:19" x14ac:dyDescent="0.35">
      <c r="A41" s="1" t="s">
        <v>176</v>
      </c>
      <c r="B41" s="2">
        <v>44642</v>
      </c>
      <c r="C41" s="1" t="s">
        <v>177</v>
      </c>
      <c r="D41" s="1" t="s">
        <v>178</v>
      </c>
      <c r="E41" s="1" t="s">
        <v>79</v>
      </c>
      <c r="F41" s="1" t="s">
        <v>23</v>
      </c>
      <c r="G41" s="1">
        <v>16</v>
      </c>
      <c r="H41" s="1">
        <v>9523</v>
      </c>
      <c r="I41" s="1">
        <v>152368</v>
      </c>
      <c r="J41" s="1">
        <v>9099</v>
      </c>
      <c r="K41" s="1">
        <v>143269</v>
      </c>
      <c r="L41" s="1">
        <v>143269</v>
      </c>
      <c r="M41" s="1" t="s">
        <v>24</v>
      </c>
      <c r="N41" s="1" t="s">
        <v>61</v>
      </c>
      <c r="O41" s="1" t="s">
        <v>62</v>
      </c>
      <c r="P41" s="1" t="s">
        <v>27</v>
      </c>
      <c r="Q41" s="1">
        <v>2022</v>
      </c>
      <c r="R41" s="1">
        <v>3</v>
      </c>
      <c r="S41" s="1" t="s">
        <v>68</v>
      </c>
    </row>
    <row r="42" spans="1:19" x14ac:dyDescent="0.35">
      <c r="A42" s="1" t="s">
        <v>179</v>
      </c>
      <c r="B42" s="2">
        <v>44861</v>
      </c>
      <c r="C42" s="1" t="s">
        <v>180</v>
      </c>
      <c r="D42" s="1" t="s">
        <v>181</v>
      </c>
      <c r="E42" s="1" t="s">
        <v>45</v>
      </c>
      <c r="F42" s="1" t="s">
        <v>46</v>
      </c>
      <c r="G42" s="1">
        <v>20</v>
      </c>
      <c r="H42" s="1">
        <v>3004</v>
      </c>
      <c r="I42" s="1">
        <v>60080</v>
      </c>
      <c r="J42" s="1">
        <v>3660</v>
      </c>
      <c r="K42" s="1">
        <v>56420</v>
      </c>
      <c r="L42" s="1">
        <v>56420</v>
      </c>
      <c r="M42" s="1" t="s">
        <v>84</v>
      </c>
      <c r="N42" s="1" t="s">
        <v>40</v>
      </c>
      <c r="O42" s="1" t="s">
        <v>41</v>
      </c>
      <c r="P42" s="1" t="s">
        <v>27</v>
      </c>
      <c r="Q42" s="1">
        <v>2022</v>
      </c>
      <c r="R42" s="1">
        <v>10</v>
      </c>
      <c r="S42" s="1" t="s">
        <v>28</v>
      </c>
    </row>
    <row r="43" spans="1:19" x14ac:dyDescent="0.35">
      <c r="A43" s="1" t="s">
        <v>182</v>
      </c>
      <c r="B43" s="2">
        <v>44270</v>
      </c>
      <c r="C43" s="1" t="s">
        <v>183</v>
      </c>
      <c r="D43" s="1" t="s">
        <v>184</v>
      </c>
      <c r="E43" s="1" t="s">
        <v>106</v>
      </c>
      <c r="F43" s="1" t="s">
        <v>107</v>
      </c>
      <c r="G43" s="1">
        <v>27</v>
      </c>
      <c r="H43" s="1">
        <v>15257</v>
      </c>
      <c r="I43" s="1">
        <v>411939</v>
      </c>
      <c r="J43" s="1">
        <v>43501</v>
      </c>
      <c r="K43" s="1">
        <v>368438</v>
      </c>
      <c r="L43" s="1">
        <v>368438</v>
      </c>
      <c r="M43" s="1" t="s">
        <v>47</v>
      </c>
      <c r="N43" s="1" t="s">
        <v>40</v>
      </c>
      <c r="O43" s="1" t="s">
        <v>125</v>
      </c>
      <c r="P43" s="1" t="s">
        <v>27</v>
      </c>
      <c r="Q43" s="1">
        <v>2021</v>
      </c>
      <c r="R43" s="1">
        <v>3</v>
      </c>
      <c r="S43" s="1" t="s">
        <v>68</v>
      </c>
    </row>
    <row r="44" spans="1:19" x14ac:dyDescent="0.35">
      <c r="A44" s="1" t="s">
        <v>185</v>
      </c>
      <c r="B44" s="2">
        <v>44732</v>
      </c>
      <c r="C44" s="1" t="s">
        <v>186</v>
      </c>
      <c r="D44" s="1" t="s">
        <v>187</v>
      </c>
      <c r="E44" s="1" t="s">
        <v>22</v>
      </c>
      <c r="F44" s="1" t="s">
        <v>23</v>
      </c>
      <c r="G44" s="1">
        <v>6</v>
      </c>
      <c r="H44" s="1">
        <v>51296</v>
      </c>
      <c r="I44" s="1">
        <v>307776</v>
      </c>
      <c r="J44" s="1">
        <v>29197</v>
      </c>
      <c r="K44" s="1">
        <v>278579</v>
      </c>
      <c r="L44" s="1">
        <v>278579</v>
      </c>
      <c r="M44" s="1" t="s">
        <v>34</v>
      </c>
      <c r="N44" s="1" t="s">
        <v>61</v>
      </c>
      <c r="O44" s="1" t="s">
        <v>88</v>
      </c>
      <c r="P44" s="1" t="s">
        <v>27</v>
      </c>
      <c r="Q44" s="1">
        <v>2022</v>
      </c>
      <c r="R44" s="1">
        <v>6</v>
      </c>
      <c r="S44" s="1" t="s">
        <v>35</v>
      </c>
    </row>
    <row r="45" spans="1:19" x14ac:dyDescent="0.35">
      <c r="A45" s="1" t="s">
        <v>188</v>
      </c>
      <c r="B45" s="2">
        <v>43551</v>
      </c>
      <c r="C45" s="1" t="s">
        <v>189</v>
      </c>
      <c r="D45" s="1" t="s">
        <v>190</v>
      </c>
      <c r="E45" s="1" t="s">
        <v>32</v>
      </c>
      <c r="F45" s="1" t="s">
        <v>33</v>
      </c>
      <c r="G45" s="1">
        <v>28</v>
      </c>
      <c r="H45" s="1">
        <v>3541</v>
      </c>
      <c r="I45" s="1">
        <v>99148</v>
      </c>
      <c r="J45" s="1">
        <v>6370</v>
      </c>
      <c r="K45" s="1">
        <v>92778</v>
      </c>
      <c r="L45" s="1">
        <v>92778</v>
      </c>
      <c r="M45" s="1" t="s">
        <v>66</v>
      </c>
      <c r="N45" s="1" t="s">
        <v>25</v>
      </c>
      <c r="O45" s="1" t="s">
        <v>26</v>
      </c>
      <c r="P45" s="1" t="s">
        <v>27</v>
      </c>
      <c r="Q45" s="1">
        <v>2019</v>
      </c>
      <c r="R45" s="1">
        <v>3</v>
      </c>
      <c r="S45" s="1" t="s">
        <v>68</v>
      </c>
    </row>
    <row r="46" spans="1:19" x14ac:dyDescent="0.35">
      <c r="A46" s="1" t="s">
        <v>191</v>
      </c>
      <c r="B46" s="2">
        <v>44692</v>
      </c>
      <c r="C46" s="1" t="s">
        <v>192</v>
      </c>
      <c r="D46" s="1" t="s">
        <v>193</v>
      </c>
      <c r="E46" s="1" t="s">
        <v>60</v>
      </c>
      <c r="F46" s="1" t="s">
        <v>46</v>
      </c>
      <c r="G46" s="1">
        <v>9</v>
      </c>
      <c r="H46" s="1">
        <v>50214</v>
      </c>
      <c r="I46" s="1">
        <v>451926</v>
      </c>
      <c r="J46" s="1">
        <v>89556</v>
      </c>
      <c r="K46" s="1">
        <v>362370</v>
      </c>
      <c r="L46" s="1">
        <v>362370</v>
      </c>
      <c r="M46" s="1" t="s">
        <v>34</v>
      </c>
      <c r="N46" s="1" t="s">
        <v>61</v>
      </c>
      <c r="O46" s="1" t="s">
        <v>62</v>
      </c>
      <c r="P46" s="1" t="s">
        <v>27</v>
      </c>
      <c r="Q46" s="1">
        <v>2022</v>
      </c>
      <c r="R46" s="1">
        <v>5</v>
      </c>
      <c r="S46" s="1" t="s">
        <v>35</v>
      </c>
    </row>
    <row r="47" spans="1:19" x14ac:dyDescent="0.35">
      <c r="A47" s="1" t="s">
        <v>194</v>
      </c>
      <c r="B47" s="2">
        <v>45199</v>
      </c>
      <c r="C47" s="1" t="s">
        <v>195</v>
      </c>
      <c r="D47" s="1" t="s">
        <v>196</v>
      </c>
      <c r="E47" s="1" t="s">
        <v>106</v>
      </c>
      <c r="F47" s="1" t="s">
        <v>107</v>
      </c>
      <c r="G47" s="1">
        <v>13</v>
      </c>
      <c r="H47" s="1">
        <v>41571</v>
      </c>
      <c r="I47" s="1">
        <v>540423</v>
      </c>
      <c r="J47" s="1">
        <v>17191</v>
      </c>
      <c r="K47" s="1">
        <v>523232</v>
      </c>
      <c r="L47" s="1">
        <v>523232</v>
      </c>
      <c r="M47" s="1" t="s">
        <v>24</v>
      </c>
      <c r="N47" s="1" t="s">
        <v>54</v>
      </c>
      <c r="O47" s="1" t="s">
        <v>67</v>
      </c>
      <c r="P47" s="1" t="s">
        <v>27</v>
      </c>
      <c r="Q47" s="1">
        <v>2023</v>
      </c>
      <c r="R47" s="1">
        <v>9</v>
      </c>
      <c r="S47" s="1" t="s">
        <v>56</v>
      </c>
    </row>
    <row r="48" spans="1:19" x14ac:dyDescent="0.35">
      <c r="A48" s="1" t="s">
        <v>197</v>
      </c>
      <c r="B48" s="2">
        <v>44581</v>
      </c>
      <c r="C48" s="1" t="s">
        <v>198</v>
      </c>
      <c r="D48" s="1" t="s">
        <v>199</v>
      </c>
      <c r="E48" s="1" t="s">
        <v>45</v>
      </c>
      <c r="F48" s="1" t="s">
        <v>46</v>
      </c>
      <c r="G48" s="1">
        <v>12</v>
      </c>
      <c r="H48" s="1">
        <v>33765</v>
      </c>
      <c r="I48" s="1">
        <v>405180</v>
      </c>
      <c r="J48" s="1">
        <v>49389</v>
      </c>
      <c r="K48" s="1">
        <v>355791</v>
      </c>
      <c r="L48" s="1">
        <v>355791</v>
      </c>
      <c r="M48" s="1" t="s">
        <v>66</v>
      </c>
      <c r="N48" s="1" t="s">
        <v>48</v>
      </c>
      <c r="O48" s="1" t="s">
        <v>49</v>
      </c>
      <c r="P48" s="1" t="s">
        <v>27</v>
      </c>
      <c r="Q48" s="1">
        <v>2022</v>
      </c>
      <c r="R48" s="1">
        <v>1</v>
      </c>
      <c r="S48" s="1" t="s">
        <v>68</v>
      </c>
    </row>
    <row r="49" spans="1:19" x14ac:dyDescent="0.35">
      <c r="A49" s="1" t="s">
        <v>200</v>
      </c>
      <c r="B49" s="2">
        <v>44324</v>
      </c>
      <c r="C49" s="1" t="s">
        <v>201</v>
      </c>
      <c r="D49" s="1" t="s">
        <v>202</v>
      </c>
      <c r="E49" s="1" t="s">
        <v>79</v>
      </c>
      <c r="F49" s="1" t="s">
        <v>23</v>
      </c>
      <c r="G49" s="1">
        <v>2</v>
      </c>
      <c r="H49" s="1">
        <v>3092</v>
      </c>
      <c r="I49" s="1">
        <v>6184</v>
      </c>
      <c r="J49" s="1">
        <v>157</v>
      </c>
      <c r="K49" s="1">
        <v>6027</v>
      </c>
      <c r="L49" s="1">
        <v>6027</v>
      </c>
      <c r="M49" s="1" t="s">
        <v>84</v>
      </c>
      <c r="N49" s="1" t="s">
        <v>101</v>
      </c>
      <c r="O49" s="1" t="s">
        <v>108</v>
      </c>
      <c r="P49" s="1" t="s">
        <v>27</v>
      </c>
      <c r="Q49" s="1">
        <v>2021</v>
      </c>
      <c r="R49" s="1">
        <v>5</v>
      </c>
      <c r="S49" s="1" t="s">
        <v>35</v>
      </c>
    </row>
    <row r="50" spans="1:19" x14ac:dyDescent="0.35">
      <c r="A50" s="1" t="s">
        <v>203</v>
      </c>
      <c r="B50" s="2">
        <v>45506</v>
      </c>
      <c r="C50" s="1" t="s">
        <v>204</v>
      </c>
      <c r="D50" s="1" t="s">
        <v>205</v>
      </c>
      <c r="E50" s="1" t="s">
        <v>106</v>
      </c>
      <c r="F50" s="1" t="s">
        <v>107</v>
      </c>
      <c r="G50" s="1">
        <v>12</v>
      </c>
      <c r="H50" s="1">
        <v>37770</v>
      </c>
      <c r="I50" s="1">
        <v>453240</v>
      </c>
      <c r="J50" s="1">
        <v>38312</v>
      </c>
      <c r="K50" s="1">
        <v>414928</v>
      </c>
      <c r="L50" s="1">
        <v>414928</v>
      </c>
      <c r="M50" s="1" t="s">
        <v>39</v>
      </c>
      <c r="N50" s="1" t="s">
        <v>40</v>
      </c>
      <c r="O50" s="1" t="s">
        <v>125</v>
      </c>
      <c r="P50" s="1" t="s">
        <v>27</v>
      </c>
      <c r="Q50" s="1">
        <v>2024</v>
      </c>
      <c r="R50" s="1">
        <v>8</v>
      </c>
      <c r="S50" s="1" t="s">
        <v>56</v>
      </c>
    </row>
    <row r="51" spans="1:19" x14ac:dyDescent="0.35">
      <c r="A51" s="1" t="s">
        <v>206</v>
      </c>
      <c r="B51" s="2">
        <v>43746</v>
      </c>
      <c r="C51" s="1" t="s">
        <v>207</v>
      </c>
      <c r="D51" s="1" t="s">
        <v>145</v>
      </c>
      <c r="E51" s="1" t="s">
        <v>32</v>
      </c>
      <c r="F51" s="1" t="s">
        <v>33</v>
      </c>
      <c r="G51" s="1">
        <v>4</v>
      </c>
      <c r="H51" s="1">
        <v>12938</v>
      </c>
      <c r="I51" s="1">
        <v>51752</v>
      </c>
      <c r="J51" s="1">
        <v>3304</v>
      </c>
      <c r="K51" s="1">
        <v>48448</v>
      </c>
      <c r="L51" s="1">
        <v>48448</v>
      </c>
      <c r="M51" s="1" t="s">
        <v>66</v>
      </c>
      <c r="N51" s="1" t="s">
        <v>54</v>
      </c>
      <c r="O51" s="1" t="s">
        <v>67</v>
      </c>
      <c r="P51" s="1" t="s">
        <v>27</v>
      </c>
      <c r="Q51" s="1">
        <v>2019</v>
      </c>
      <c r="R51" s="1">
        <v>10</v>
      </c>
      <c r="S51" s="1" t="s">
        <v>28</v>
      </c>
    </row>
    <row r="52" spans="1:19" x14ac:dyDescent="0.35">
      <c r="A52" s="1" t="s">
        <v>208</v>
      </c>
      <c r="B52" s="2">
        <v>44677</v>
      </c>
      <c r="C52" s="1" t="s">
        <v>209</v>
      </c>
      <c r="D52" s="1" t="s">
        <v>210</v>
      </c>
      <c r="E52" s="1" t="s">
        <v>22</v>
      </c>
      <c r="F52" s="1" t="s">
        <v>23</v>
      </c>
      <c r="G52" s="1">
        <v>6</v>
      </c>
      <c r="H52" s="1">
        <v>56319</v>
      </c>
      <c r="I52" s="1">
        <v>337914</v>
      </c>
      <c r="J52" s="1">
        <v>48254</v>
      </c>
      <c r="K52" s="1">
        <v>289660</v>
      </c>
      <c r="L52" s="1">
        <v>289660</v>
      </c>
      <c r="M52" s="1" t="s">
        <v>39</v>
      </c>
      <c r="N52" s="1" t="s">
        <v>25</v>
      </c>
      <c r="O52" s="1" t="s">
        <v>80</v>
      </c>
      <c r="P52" s="1" t="s">
        <v>27</v>
      </c>
      <c r="Q52" s="1">
        <v>2022</v>
      </c>
      <c r="R52" s="1">
        <v>4</v>
      </c>
      <c r="S52" s="1" t="s">
        <v>35</v>
      </c>
    </row>
    <row r="53" spans="1:19" x14ac:dyDescent="0.35">
      <c r="A53" s="1" t="s">
        <v>211</v>
      </c>
      <c r="B53" s="2">
        <v>44791</v>
      </c>
      <c r="C53" s="1" t="s">
        <v>212</v>
      </c>
      <c r="D53" s="1" t="s">
        <v>213</v>
      </c>
      <c r="E53" s="1" t="s">
        <v>22</v>
      </c>
      <c r="F53" s="1" t="s">
        <v>23</v>
      </c>
      <c r="G53" s="1">
        <v>18</v>
      </c>
      <c r="H53" s="1">
        <v>45547</v>
      </c>
      <c r="I53" s="1">
        <v>819846</v>
      </c>
      <c r="J53" s="1">
        <v>108663</v>
      </c>
      <c r="K53" s="1">
        <v>711183</v>
      </c>
      <c r="L53" s="1">
        <v>711183</v>
      </c>
      <c r="M53" s="1" t="s">
        <v>24</v>
      </c>
      <c r="N53" s="1" t="s">
        <v>40</v>
      </c>
      <c r="O53" s="1" t="s">
        <v>75</v>
      </c>
      <c r="P53" s="1" t="s">
        <v>27</v>
      </c>
      <c r="Q53" s="1">
        <v>2022</v>
      </c>
      <c r="R53" s="1">
        <v>8</v>
      </c>
      <c r="S53" s="1" t="s">
        <v>56</v>
      </c>
    </row>
    <row r="54" spans="1:19" x14ac:dyDescent="0.35">
      <c r="A54" s="1" t="s">
        <v>214</v>
      </c>
      <c r="B54" s="2">
        <v>45381</v>
      </c>
      <c r="C54" s="1" t="s">
        <v>215</v>
      </c>
      <c r="D54" s="1" t="s">
        <v>216</v>
      </c>
      <c r="E54" s="1" t="s">
        <v>106</v>
      </c>
      <c r="F54" s="1" t="s">
        <v>107</v>
      </c>
      <c r="G54" s="1">
        <v>10</v>
      </c>
      <c r="H54" s="1">
        <v>38460</v>
      </c>
      <c r="I54" s="1">
        <v>384600</v>
      </c>
      <c r="J54" s="1">
        <v>7028</v>
      </c>
      <c r="K54" s="1">
        <v>377572</v>
      </c>
      <c r="L54" s="1">
        <v>377572</v>
      </c>
      <c r="M54" s="1" t="s">
        <v>84</v>
      </c>
      <c r="N54" s="1" t="s">
        <v>40</v>
      </c>
      <c r="O54" s="1" t="s">
        <v>75</v>
      </c>
      <c r="P54" s="1" t="s">
        <v>27</v>
      </c>
      <c r="Q54" s="1">
        <v>2024</v>
      </c>
      <c r="R54" s="1">
        <v>3</v>
      </c>
      <c r="S54" s="1" t="s">
        <v>68</v>
      </c>
    </row>
    <row r="55" spans="1:19" x14ac:dyDescent="0.35">
      <c r="A55" s="1" t="s">
        <v>217</v>
      </c>
      <c r="B55" s="2">
        <v>43821</v>
      </c>
      <c r="C55" s="1" t="s">
        <v>218</v>
      </c>
      <c r="D55" s="1" t="s">
        <v>219</v>
      </c>
      <c r="E55" s="1" t="s">
        <v>32</v>
      </c>
      <c r="F55" s="1" t="s">
        <v>33</v>
      </c>
      <c r="G55" s="1">
        <v>8</v>
      </c>
      <c r="H55" s="1">
        <v>7802</v>
      </c>
      <c r="I55" s="1">
        <v>62416</v>
      </c>
      <c r="J55" s="1">
        <v>2840</v>
      </c>
      <c r="K55" s="1">
        <v>59576</v>
      </c>
      <c r="L55" s="1">
        <v>59576</v>
      </c>
      <c r="M55" s="1" t="s">
        <v>84</v>
      </c>
      <c r="N55" s="1" t="s">
        <v>101</v>
      </c>
      <c r="O55" s="1" t="s">
        <v>102</v>
      </c>
      <c r="P55" s="1" t="s">
        <v>27</v>
      </c>
      <c r="Q55" s="1">
        <v>2019</v>
      </c>
      <c r="R55" s="1">
        <v>12</v>
      </c>
      <c r="S55" s="1" t="s">
        <v>28</v>
      </c>
    </row>
    <row r="56" spans="1:19" x14ac:dyDescent="0.35">
      <c r="A56" s="1" t="s">
        <v>220</v>
      </c>
      <c r="B56" s="2">
        <v>44826</v>
      </c>
      <c r="C56" s="1" t="s">
        <v>221</v>
      </c>
      <c r="D56" s="1" t="s">
        <v>222</v>
      </c>
      <c r="E56" s="1" t="s">
        <v>32</v>
      </c>
      <c r="F56" s="1" t="s">
        <v>33</v>
      </c>
      <c r="G56" s="1">
        <v>17</v>
      </c>
      <c r="H56" s="1">
        <v>42200</v>
      </c>
      <c r="I56" s="1">
        <v>717400</v>
      </c>
      <c r="J56" s="1">
        <v>110523</v>
      </c>
      <c r="K56" s="1">
        <v>606877</v>
      </c>
      <c r="L56" s="1">
        <v>606877</v>
      </c>
      <c r="M56" s="1" t="s">
        <v>39</v>
      </c>
      <c r="N56" s="1" t="s">
        <v>25</v>
      </c>
      <c r="O56" s="1" t="s">
        <v>26</v>
      </c>
      <c r="P56" s="1" t="s">
        <v>27</v>
      </c>
      <c r="Q56" s="1">
        <v>2022</v>
      </c>
      <c r="R56" s="1">
        <v>9</v>
      </c>
      <c r="S56" s="1" t="s">
        <v>56</v>
      </c>
    </row>
    <row r="57" spans="1:19" x14ac:dyDescent="0.35">
      <c r="A57" s="1" t="s">
        <v>223</v>
      </c>
      <c r="B57" s="2">
        <v>44744</v>
      </c>
      <c r="C57" s="1" t="s">
        <v>224</v>
      </c>
      <c r="D57" s="1" t="s">
        <v>225</v>
      </c>
      <c r="E57" s="1" t="s">
        <v>124</v>
      </c>
      <c r="F57" s="1" t="s">
        <v>107</v>
      </c>
      <c r="G57" s="1">
        <v>7</v>
      </c>
      <c r="H57" s="1">
        <v>47209</v>
      </c>
      <c r="I57" s="1">
        <v>330463</v>
      </c>
      <c r="J57" s="1">
        <v>17892</v>
      </c>
      <c r="K57" s="1">
        <v>312571</v>
      </c>
      <c r="L57" s="1">
        <v>312571</v>
      </c>
      <c r="M57" s="1" t="s">
        <v>66</v>
      </c>
      <c r="N57" s="1" t="s">
        <v>48</v>
      </c>
      <c r="O57" s="1" t="s">
        <v>49</v>
      </c>
      <c r="P57" s="1" t="s">
        <v>27</v>
      </c>
      <c r="Q57" s="1">
        <v>2022</v>
      </c>
      <c r="R57" s="1">
        <v>7</v>
      </c>
      <c r="S57" s="1" t="s">
        <v>56</v>
      </c>
    </row>
    <row r="58" spans="1:19" x14ac:dyDescent="0.35">
      <c r="A58" s="1" t="s">
        <v>226</v>
      </c>
      <c r="B58" s="2">
        <v>44870</v>
      </c>
      <c r="C58" s="1" t="s">
        <v>227</v>
      </c>
      <c r="D58" s="1" t="s">
        <v>228</v>
      </c>
      <c r="E58" s="1" t="s">
        <v>106</v>
      </c>
      <c r="F58" s="1" t="s">
        <v>107</v>
      </c>
      <c r="G58" s="1">
        <v>4</v>
      </c>
      <c r="H58" s="1">
        <v>50595</v>
      </c>
      <c r="I58" s="1">
        <v>202380</v>
      </c>
      <c r="J58" s="1">
        <v>4552</v>
      </c>
      <c r="K58" s="1">
        <v>197828</v>
      </c>
      <c r="L58" s="1">
        <v>197828</v>
      </c>
      <c r="M58" s="1" t="s">
        <v>24</v>
      </c>
      <c r="N58" s="1" t="s">
        <v>101</v>
      </c>
      <c r="O58" s="1" t="s">
        <v>108</v>
      </c>
      <c r="P58" s="1" t="s">
        <v>27</v>
      </c>
      <c r="Q58" s="1">
        <v>2022</v>
      </c>
      <c r="R58" s="1">
        <v>11</v>
      </c>
      <c r="S58" s="1" t="s">
        <v>28</v>
      </c>
    </row>
    <row r="59" spans="1:19" x14ac:dyDescent="0.35">
      <c r="A59" s="1" t="s">
        <v>229</v>
      </c>
      <c r="B59" s="2">
        <v>43733</v>
      </c>
      <c r="C59" s="1" t="s">
        <v>230</v>
      </c>
      <c r="D59" s="1" t="s">
        <v>231</v>
      </c>
      <c r="E59" s="1" t="s">
        <v>32</v>
      </c>
      <c r="F59" s="1" t="s">
        <v>33</v>
      </c>
      <c r="G59" s="1">
        <v>29</v>
      </c>
      <c r="H59" s="1">
        <v>22437</v>
      </c>
      <c r="I59" s="1">
        <v>650673</v>
      </c>
      <c r="J59" s="1">
        <v>19911</v>
      </c>
      <c r="K59" s="1">
        <v>630762</v>
      </c>
      <c r="L59" s="1">
        <v>630762</v>
      </c>
      <c r="M59" s="1" t="s">
        <v>66</v>
      </c>
      <c r="N59" s="1" t="s">
        <v>101</v>
      </c>
      <c r="O59" s="1" t="s">
        <v>108</v>
      </c>
      <c r="P59" s="1" t="s">
        <v>27</v>
      </c>
      <c r="Q59" s="1">
        <v>2019</v>
      </c>
      <c r="R59" s="1">
        <v>9</v>
      </c>
      <c r="S59" s="1" t="s">
        <v>56</v>
      </c>
    </row>
    <row r="60" spans="1:19" x14ac:dyDescent="0.35">
      <c r="A60" s="1" t="s">
        <v>232</v>
      </c>
      <c r="B60" s="2">
        <v>44038</v>
      </c>
      <c r="C60" s="1" t="s">
        <v>233</v>
      </c>
      <c r="D60" s="1" t="s">
        <v>234</v>
      </c>
      <c r="E60" s="1" t="s">
        <v>79</v>
      </c>
      <c r="F60" s="1" t="s">
        <v>23</v>
      </c>
      <c r="G60" s="1">
        <v>23</v>
      </c>
      <c r="H60" s="1">
        <v>36611</v>
      </c>
      <c r="I60" s="1">
        <v>842053</v>
      </c>
      <c r="J60" s="1">
        <v>18522</v>
      </c>
      <c r="K60" s="1">
        <v>823531</v>
      </c>
      <c r="L60" s="1">
        <v>823531</v>
      </c>
      <c r="M60" s="1" t="s">
        <v>24</v>
      </c>
      <c r="N60" s="1" t="s">
        <v>48</v>
      </c>
      <c r="O60" s="1" t="s">
        <v>49</v>
      </c>
      <c r="P60" s="1" t="s">
        <v>27</v>
      </c>
      <c r="Q60" s="1">
        <v>2020</v>
      </c>
      <c r="R60" s="1">
        <v>7</v>
      </c>
      <c r="S60" s="1" t="s">
        <v>56</v>
      </c>
    </row>
    <row r="61" spans="1:19" x14ac:dyDescent="0.35">
      <c r="A61" s="1" t="s">
        <v>235</v>
      </c>
      <c r="B61" s="2">
        <v>44757</v>
      </c>
      <c r="C61" s="1" t="s">
        <v>236</v>
      </c>
      <c r="D61" s="1" t="s">
        <v>237</v>
      </c>
      <c r="E61" s="1" t="s">
        <v>106</v>
      </c>
      <c r="F61" s="1" t="s">
        <v>107</v>
      </c>
      <c r="G61" s="1">
        <v>24</v>
      </c>
      <c r="H61" s="1">
        <v>4808</v>
      </c>
      <c r="I61" s="1">
        <v>115392</v>
      </c>
      <c r="J61" s="1">
        <v>10059</v>
      </c>
      <c r="K61" s="1">
        <v>105333</v>
      </c>
      <c r="L61" s="1">
        <v>105333</v>
      </c>
      <c r="M61" s="1" t="s">
        <v>66</v>
      </c>
      <c r="N61" s="1" t="s">
        <v>25</v>
      </c>
      <c r="O61" s="1" t="s">
        <v>26</v>
      </c>
      <c r="P61" s="1" t="s">
        <v>27</v>
      </c>
      <c r="Q61" s="1">
        <v>2022</v>
      </c>
      <c r="R61" s="1">
        <v>7</v>
      </c>
      <c r="S61" s="1" t="s">
        <v>56</v>
      </c>
    </row>
    <row r="62" spans="1:19" x14ac:dyDescent="0.35">
      <c r="A62" s="1" t="s">
        <v>238</v>
      </c>
      <c r="B62" s="2">
        <v>43549</v>
      </c>
      <c r="C62" s="1" t="s">
        <v>239</v>
      </c>
      <c r="D62" s="1" t="s">
        <v>240</v>
      </c>
      <c r="E62" s="1" t="s">
        <v>79</v>
      </c>
      <c r="F62" s="1" t="s">
        <v>23</v>
      </c>
      <c r="G62" s="1">
        <v>24</v>
      </c>
      <c r="H62" s="1">
        <v>59093</v>
      </c>
      <c r="I62" s="1">
        <v>1418232</v>
      </c>
      <c r="J62" s="1">
        <v>181771</v>
      </c>
      <c r="K62" s="1">
        <v>1236461</v>
      </c>
      <c r="L62" s="1">
        <v>1236461</v>
      </c>
      <c r="M62" s="1" t="s">
        <v>47</v>
      </c>
      <c r="N62" s="1" t="s">
        <v>40</v>
      </c>
      <c r="O62" s="1" t="s">
        <v>41</v>
      </c>
      <c r="P62" s="1" t="s">
        <v>27</v>
      </c>
      <c r="Q62" s="1">
        <v>2019</v>
      </c>
      <c r="R62" s="1">
        <v>3</v>
      </c>
      <c r="S62" s="1" t="s">
        <v>68</v>
      </c>
    </row>
    <row r="63" spans="1:19" x14ac:dyDescent="0.35">
      <c r="A63" s="1" t="s">
        <v>241</v>
      </c>
      <c r="B63" s="2">
        <v>45235</v>
      </c>
      <c r="C63" s="1" t="s">
        <v>242</v>
      </c>
      <c r="D63" s="1" t="s">
        <v>243</v>
      </c>
      <c r="E63" s="1" t="s">
        <v>124</v>
      </c>
      <c r="F63" s="1" t="s">
        <v>107</v>
      </c>
      <c r="G63" s="1">
        <v>21</v>
      </c>
      <c r="H63" s="1">
        <v>47103</v>
      </c>
      <c r="I63" s="1">
        <v>989163</v>
      </c>
      <c r="J63" s="1">
        <v>88497</v>
      </c>
      <c r="K63" s="1">
        <v>900666</v>
      </c>
      <c r="L63" s="1">
        <v>900666</v>
      </c>
      <c r="M63" s="1" t="s">
        <v>84</v>
      </c>
      <c r="N63" s="1" t="s">
        <v>48</v>
      </c>
      <c r="O63" s="1" t="s">
        <v>49</v>
      </c>
      <c r="P63" s="1" t="s">
        <v>27</v>
      </c>
      <c r="Q63" s="1">
        <v>2023</v>
      </c>
      <c r="R63" s="1">
        <v>11</v>
      </c>
      <c r="S63" s="1" t="s">
        <v>28</v>
      </c>
    </row>
    <row r="64" spans="1:19" x14ac:dyDescent="0.35">
      <c r="A64" s="1" t="s">
        <v>244</v>
      </c>
      <c r="B64" s="2">
        <v>44266</v>
      </c>
      <c r="C64" s="1" t="s">
        <v>245</v>
      </c>
      <c r="D64" s="1" t="s">
        <v>184</v>
      </c>
      <c r="E64" s="1" t="s">
        <v>45</v>
      </c>
      <c r="F64" s="1" t="s">
        <v>46</v>
      </c>
      <c r="G64" s="1">
        <v>6</v>
      </c>
      <c r="H64" s="1">
        <v>15480</v>
      </c>
      <c r="I64" s="1">
        <v>92880</v>
      </c>
      <c r="J64" s="1">
        <v>18267</v>
      </c>
      <c r="K64" s="1">
        <v>74613</v>
      </c>
      <c r="L64" s="1">
        <v>74613</v>
      </c>
      <c r="M64" s="1" t="s">
        <v>34</v>
      </c>
      <c r="N64" s="1" t="s">
        <v>25</v>
      </c>
      <c r="O64" s="1" t="s">
        <v>80</v>
      </c>
      <c r="P64" s="1" t="s">
        <v>27</v>
      </c>
      <c r="Q64" s="1">
        <v>2021</v>
      </c>
      <c r="R64" s="1">
        <v>3</v>
      </c>
      <c r="S64" s="1" t="s">
        <v>68</v>
      </c>
    </row>
    <row r="65" spans="1:19" x14ac:dyDescent="0.35">
      <c r="A65" s="1" t="s">
        <v>246</v>
      </c>
      <c r="B65" s="2">
        <v>44147</v>
      </c>
      <c r="C65" s="1" t="s">
        <v>247</v>
      </c>
      <c r="D65" s="1" t="s">
        <v>248</v>
      </c>
      <c r="E65" s="1" t="s">
        <v>79</v>
      </c>
      <c r="F65" s="1" t="s">
        <v>23</v>
      </c>
      <c r="G65" s="1">
        <v>5</v>
      </c>
      <c r="H65" s="1">
        <v>33920</v>
      </c>
      <c r="I65" s="1">
        <v>169600</v>
      </c>
      <c r="J65" s="1">
        <v>28271</v>
      </c>
      <c r="K65" s="1">
        <v>141329</v>
      </c>
      <c r="L65" s="1">
        <v>141329</v>
      </c>
      <c r="M65" s="1" t="s">
        <v>39</v>
      </c>
      <c r="N65" s="1" t="s">
        <v>48</v>
      </c>
      <c r="O65" s="1" t="s">
        <v>49</v>
      </c>
      <c r="P65" s="1" t="s">
        <v>27</v>
      </c>
      <c r="Q65" s="1">
        <v>2020</v>
      </c>
      <c r="R65" s="1">
        <v>11</v>
      </c>
      <c r="S65" s="1" t="s">
        <v>28</v>
      </c>
    </row>
    <row r="66" spans="1:19" x14ac:dyDescent="0.35">
      <c r="A66" s="1" t="s">
        <v>249</v>
      </c>
      <c r="B66" s="2">
        <v>43718</v>
      </c>
      <c r="C66" s="1" t="s">
        <v>250</v>
      </c>
      <c r="D66" s="1" t="s">
        <v>251</v>
      </c>
      <c r="E66" s="1" t="s">
        <v>106</v>
      </c>
      <c r="F66" s="1" t="s">
        <v>107</v>
      </c>
      <c r="G66" s="1">
        <v>6</v>
      </c>
      <c r="H66" s="1">
        <v>53367</v>
      </c>
      <c r="I66" s="1">
        <v>320202</v>
      </c>
      <c r="J66" s="1">
        <v>52278</v>
      </c>
      <c r="K66" s="1">
        <v>267924</v>
      </c>
      <c r="L66" s="1">
        <v>267924</v>
      </c>
      <c r="M66" s="1" t="s">
        <v>39</v>
      </c>
      <c r="N66" s="1" t="s">
        <v>25</v>
      </c>
      <c r="O66" s="1" t="s">
        <v>80</v>
      </c>
      <c r="P66" s="1" t="s">
        <v>27</v>
      </c>
      <c r="Q66" s="1">
        <v>2019</v>
      </c>
      <c r="R66" s="1">
        <v>9</v>
      </c>
      <c r="S66" s="1" t="s">
        <v>56</v>
      </c>
    </row>
    <row r="67" spans="1:19" x14ac:dyDescent="0.35">
      <c r="A67" s="1" t="s">
        <v>252</v>
      </c>
      <c r="B67" s="2">
        <v>45046</v>
      </c>
      <c r="C67" s="1" t="s">
        <v>253</v>
      </c>
      <c r="D67" s="1" t="s">
        <v>254</v>
      </c>
      <c r="E67" s="1" t="s">
        <v>60</v>
      </c>
      <c r="F67" s="1" t="s">
        <v>46</v>
      </c>
      <c r="G67" s="1">
        <v>15</v>
      </c>
      <c r="H67" s="1">
        <v>34669</v>
      </c>
      <c r="I67" s="1">
        <v>520035</v>
      </c>
      <c r="J67" s="1">
        <v>55945</v>
      </c>
      <c r="K67" s="1">
        <v>464090</v>
      </c>
      <c r="L67" s="1">
        <v>464090</v>
      </c>
      <c r="M67" s="1" t="s">
        <v>66</v>
      </c>
      <c r="N67" s="1" t="s">
        <v>54</v>
      </c>
      <c r="O67" s="1" t="s">
        <v>55</v>
      </c>
      <c r="P67" s="1" t="s">
        <v>27</v>
      </c>
      <c r="Q67" s="1">
        <v>2023</v>
      </c>
      <c r="R67" s="1">
        <v>4</v>
      </c>
      <c r="S67" s="1" t="s">
        <v>35</v>
      </c>
    </row>
    <row r="68" spans="1:19" x14ac:dyDescent="0.35">
      <c r="A68" s="1" t="s">
        <v>255</v>
      </c>
      <c r="B68" s="2">
        <v>43735</v>
      </c>
      <c r="C68" s="1" t="s">
        <v>256</v>
      </c>
      <c r="D68" s="1" t="s">
        <v>94</v>
      </c>
      <c r="E68" s="1" t="s">
        <v>106</v>
      </c>
      <c r="F68" s="1" t="s">
        <v>107</v>
      </c>
      <c r="G68" s="1">
        <v>24</v>
      </c>
      <c r="H68" s="1">
        <v>42520</v>
      </c>
      <c r="I68" s="1">
        <v>1020480</v>
      </c>
      <c r="J68" s="1">
        <v>85081</v>
      </c>
      <c r="K68" s="1">
        <v>935399</v>
      </c>
      <c r="L68" s="1">
        <v>935399</v>
      </c>
      <c r="M68" s="1" t="s">
        <v>24</v>
      </c>
      <c r="N68" s="1" t="s">
        <v>61</v>
      </c>
      <c r="O68" s="1" t="s">
        <v>62</v>
      </c>
      <c r="P68" s="1" t="s">
        <v>27</v>
      </c>
      <c r="Q68" s="1">
        <v>2019</v>
      </c>
      <c r="R68" s="1">
        <v>9</v>
      </c>
      <c r="S68" s="1" t="s">
        <v>56</v>
      </c>
    </row>
    <row r="69" spans="1:19" x14ac:dyDescent="0.35">
      <c r="A69" s="1" t="s">
        <v>257</v>
      </c>
      <c r="B69" s="2">
        <v>44843</v>
      </c>
      <c r="C69" s="1" t="s">
        <v>51</v>
      </c>
      <c r="D69" s="1" t="s">
        <v>258</v>
      </c>
      <c r="E69" s="1" t="s">
        <v>45</v>
      </c>
      <c r="F69" s="1" t="s">
        <v>46</v>
      </c>
      <c r="G69" s="1">
        <v>10</v>
      </c>
      <c r="H69" s="1">
        <v>29186</v>
      </c>
      <c r="I69" s="1">
        <v>291860</v>
      </c>
      <c r="J69" s="1">
        <v>41011</v>
      </c>
      <c r="K69" s="1">
        <v>250849</v>
      </c>
      <c r="L69" s="1">
        <v>250849</v>
      </c>
      <c r="M69" s="1" t="s">
        <v>34</v>
      </c>
      <c r="N69" s="1" t="s">
        <v>101</v>
      </c>
      <c r="O69" s="1" t="s">
        <v>108</v>
      </c>
      <c r="P69" s="1" t="s">
        <v>27</v>
      </c>
      <c r="Q69" s="1">
        <v>2022</v>
      </c>
      <c r="R69" s="1">
        <v>10</v>
      </c>
      <c r="S69" s="1" t="s">
        <v>28</v>
      </c>
    </row>
    <row r="70" spans="1:19" x14ac:dyDescent="0.35">
      <c r="A70" s="1" t="s">
        <v>259</v>
      </c>
      <c r="B70" s="2">
        <v>45365</v>
      </c>
      <c r="C70" s="1" t="s">
        <v>260</v>
      </c>
      <c r="D70" s="1" t="s">
        <v>261</v>
      </c>
      <c r="E70" s="1" t="s">
        <v>22</v>
      </c>
      <c r="F70" s="1" t="s">
        <v>23</v>
      </c>
      <c r="G70" s="1">
        <v>2</v>
      </c>
      <c r="H70" s="1">
        <v>36759</v>
      </c>
      <c r="I70" s="1">
        <v>73518</v>
      </c>
      <c r="J70" s="1">
        <v>7025</v>
      </c>
      <c r="K70" s="1">
        <v>66493</v>
      </c>
      <c r="L70" s="1">
        <v>66493</v>
      </c>
      <c r="M70" s="1" t="s">
        <v>24</v>
      </c>
      <c r="N70" s="1" t="s">
        <v>54</v>
      </c>
      <c r="O70" s="1" t="s">
        <v>67</v>
      </c>
      <c r="P70" s="1" t="s">
        <v>27</v>
      </c>
      <c r="Q70" s="1">
        <v>2024</v>
      </c>
      <c r="R70" s="1">
        <v>3</v>
      </c>
      <c r="S70" s="1" t="s">
        <v>68</v>
      </c>
    </row>
    <row r="71" spans="1:19" x14ac:dyDescent="0.35">
      <c r="A71" s="1" t="s">
        <v>262</v>
      </c>
      <c r="B71" s="2">
        <v>44492</v>
      </c>
      <c r="C71" s="1" t="s">
        <v>263</v>
      </c>
      <c r="D71" s="1" t="s">
        <v>264</v>
      </c>
      <c r="E71" s="1" t="s">
        <v>79</v>
      </c>
      <c r="F71" s="1" t="s">
        <v>23</v>
      </c>
      <c r="G71" s="1">
        <v>25</v>
      </c>
      <c r="H71" s="1">
        <v>57949</v>
      </c>
      <c r="I71" s="1">
        <v>1448725</v>
      </c>
      <c r="J71" s="1">
        <v>43544</v>
      </c>
      <c r="K71" s="1">
        <v>1405181</v>
      </c>
      <c r="L71" s="1">
        <v>1405181</v>
      </c>
      <c r="M71" s="1" t="s">
        <v>47</v>
      </c>
      <c r="N71" s="1" t="s">
        <v>101</v>
      </c>
      <c r="O71" s="1" t="s">
        <v>108</v>
      </c>
      <c r="P71" s="1" t="s">
        <v>27</v>
      </c>
      <c r="Q71" s="1">
        <v>2021</v>
      </c>
      <c r="R71" s="1">
        <v>10</v>
      </c>
      <c r="S71" s="1" t="s">
        <v>28</v>
      </c>
    </row>
    <row r="72" spans="1:19" x14ac:dyDescent="0.35">
      <c r="A72" s="1" t="s">
        <v>265</v>
      </c>
      <c r="B72" s="2">
        <v>43685</v>
      </c>
      <c r="C72" s="1" t="s">
        <v>266</v>
      </c>
      <c r="D72" s="1" t="s">
        <v>65</v>
      </c>
      <c r="E72" s="1" t="s">
        <v>32</v>
      </c>
      <c r="F72" s="1" t="s">
        <v>33</v>
      </c>
      <c r="G72" s="1">
        <v>6</v>
      </c>
      <c r="H72" s="1">
        <v>40347</v>
      </c>
      <c r="I72" s="1">
        <v>242082</v>
      </c>
      <c r="J72" s="1">
        <v>12422</v>
      </c>
      <c r="K72" s="1">
        <v>229660</v>
      </c>
      <c r="L72" s="1">
        <v>229660</v>
      </c>
      <c r="M72" s="1" t="s">
        <v>39</v>
      </c>
      <c r="N72" s="1" t="s">
        <v>54</v>
      </c>
      <c r="O72" s="1" t="s">
        <v>55</v>
      </c>
      <c r="P72" s="1" t="s">
        <v>27</v>
      </c>
      <c r="Q72" s="1">
        <v>2019</v>
      </c>
      <c r="R72" s="1">
        <v>8</v>
      </c>
      <c r="S72" s="1" t="s">
        <v>56</v>
      </c>
    </row>
    <row r="73" spans="1:19" x14ac:dyDescent="0.35">
      <c r="A73" s="1" t="s">
        <v>267</v>
      </c>
      <c r="B73" s="2">
        <v>44593</v>
      </c>
      <c r="C73" s="1" t="s">
        <v>268</v>
      </c>
      <c r="D73" s="1" t="s">
        <v>269</v>
      </c>
      <c r="E73" s="1" t="s">
        <v>124</v>
      </c>
      <c r="F73" s="1" t="s">
        <v>107</v>
      </c>
      <c r="G73" s="1">
        <v>7</v>
      </c>
      <c r="H73" s="1">
        <v>979</v>
      </c>
      <c r="I73" s="1">
        <v>6853</v>
      </c>
      <c r="J73" s="1">
        <v>111</v>
      </c>
      <c r="K73" s="1">
        <v>6742</v>
      </c>
      <c r="L73" s="1">
        <v>6742</v>
      </c>
      <c r="M73" s="1" t="s">
        <v>47</v>
      </c>
      <c r="N73" s="1" t="s">
        <v>40</v>
      </c>
      <c r="O73" s="1" t="s">
        <v>125</v>
      </c>
      <c r="P73" s="1" t="s">
        <v>27</v>
      </c>
      <c r="Q73" s="1">
        <v>2022</v>
      </c>
      <c r="R73" s="1">
        <v>2</v>
      </c>
      <c r="S73" s="1" t="s">
        <v>68</v>
      </c>
    </row>
    <row r="74" spans="1:19" x14ac:dyDescent="0.35">
      <c r="A74" s="1" t="s">
        <v>270</v>
      </c>
      <c r="B74" s="2">
        <v>45476</v>
      </c>
      <c r="C74" s="1" t="s">
        <v>271</v>
      </c>
      <c r="D74" s="1" t="s">
        <v>272</v>
      </c>
      <c r="E74" s="1" t="s">
        <v>106</v>
      </c>
      <c r="F74" s="1" t="s">
        <v>107</v>
      </c>
      <c r="G74" s="1">
        <v>3</v>
      </c>
      <c r="H74" s="1">
        <v>23015</v>
      </c>
      <c r="I74" s="1">
        <v>69045</v>
      </c>
      <c r="J74" s="1">
        <v>10679</v>
      </c>
      <c r="K74" s="1">
        <v>58366</v>
      </c>
      <c r="L74" s="1">
        <v>58366</v>
      </c>
      <c r="M74" s="1" t="s">
        <v>34</v>
      </c>
      <c r="N74" s="1" t="s">
        <v>48</v>
      </c>
      <c r="O74" s="1" t="s">
        <v>49</v>
      </c>
      <c r="P74" s="1" t="s">
        <v>27</v>
      </c>
      <c r="Q74" s="1">
        <v>2024</v>
      </c>
      <c r="R74" s="1">
        <v>7</v>
      </c>
      <c r="S74" s="1" t="s">
        <v>56</v>
      </c>
    </row>
    <row r="75" spans="1:19" x14ac:dyDescent="0.35">
      <c r="A75" s="1" t="s">
        <v>273</v>
      </c>
      <c r="B75" s="2">
        <v>44133</v>
      </c>
      <c r="C75" s="1" t="s">
        <v>242</v>
      </c>
      <c r="D75" s="1" t="s">
        <v>274</v>
      </c>
      <c r="E75" s="1" t="s">
        <v>106</v>
      </c>
      <c r="F75" s="1" t="s">
        <v>107</v>
      </c>
      <c r="G75" s="1">
        <v>15</v>
      </c>
      <c r="H75" s="1">
        <v>55606</v>
      </c>
      <c r="I75" s="1">
        <v>834090</v>
      </c>
      <c r="J75" s="1">
        <v>52263</v>
      </c>
      <c r="K75" s="1">
        <v>781827</v>
      </c>
      <c r="L75" s="1">
        <v>781827</v>
      </c>
      <c r="M75" s="1" t="s">
        <v>66</v>
      </c>
      <c r="N75" s="1" t="s">
        <v>54</v>
      </c>
      <c r="O75" s="1" t="s">
        <v>55</v>
      </c>
      <c r="P75" s="1" t="s">
        <v>27</v>
      </c>
      <c r="Q75" s="1">
        <v>2020</v>
      </c>
      <c r="R75" s="1">
        <v>10</v>
      </c>
      <c r="S75" s="1" t="s">
        <v>28</v>
      </c>
    </row>
    <row r="76" spans="1:19" x14ac:dyDescent="0.35">
      <c r="A76" s="1" t="s">
        <v>275</v>
      </c>
      <c r="B76" s="2">
        <v>45333</v>
      </c>
      <c r="C76" s="1" t="s">
        <v>276</v>
      </c>
      <c r="D76" s="1" t="s">
        <v>151</v>
      </c>
      <c r="E76" s="1" t="s">
        <v>60</v>
      </c>
      <c r="F76" s="1" t="s">
        <v>46</v>
      </c>
      <c r="G76" s="1">
        <v>5</v>
      </c>
      <c r="H76" s="1">
        <v>55884</v>
      </c>
      <c r="I76" s="1">
        <v>279420</v>
      </c>
      <c r="J76" s="1">
        <v>3488</v>
      </c>
      <c r="K76" s="1">
        <v>275932</v>
      </c>
      <c r="L76" s="1">
        <v>275932</v>
      </c>
      <c r="M76" s="1" t="s">
        <v>24</v>
      </c>
      <c r="N76" s="1" t="s">
        <v>101</v>
      </c>
      <c r="O76" s="1" t="s">
        <v>102</v>
      </c>
      <c r="P76" s="1" t="s">
        <v>27</v>
      </c>
      <c r="Q76" s="1">
        <v>2024</v>
      </c>
      <c r="R76" s="1">
        <v>2</v>
      </c>
      <c r="S76" s="1" t="s">
        <v>68</v>
      </c>
    </row>
    <row r="77" spans="1:19" x14ac:dyDescent="0.35">
      <c r="A77" s="1" t="s">
        <v>277</v>
      </c>
      <c r="B77" s="2">
        <v>45128</v>
      </c>
      <c r="C77" s="1" t="s">
        <v>278</v>
      </c>
      <c r="D77" s="1" t="s">
        <v>279</v>
      </c>
      <c r="E77" s="1" t="s">
        <v>106</v>
      </c>
      <c r="F77" s="1" t="s">
        <v>107</v>
      </c>
      <c r="G77" s="1">
        <v>10</v>
      </c>
      <c r="H77" s="1">
        <v>7759</v>
      </c>
      <c r="I77" s="1">
        <v>77590</v>
      </c>
      <c r="J77" s="1">
        <v>11136</v>
      </c>
      <c r="K77" s="1">
        <v>66454</v>
      </c>
      <c r="L77" s="1">
        <v>66454</v>
      </c>
      <c r="M77" s="1" t="s">
        <v>34</v>
      </c>
      <c r="N77" s="1" t="s">
        <v>61</v>
      </c>
      <c r="O77" s="1" t="s">
        <v>62</v>
      </c>
      <c r="P77" s="1" t="s">
        <v>27</v>
      </c>
      <c r="Q77" s="1">
        <v>2023</v>
      </c>
      <c r="R77" s="1">
        <v>7</v>
      </c>
      <c r="S77" s="1" t="s">
        <v>56</v>
      </c>
    </row>
    <row r="78" spans="1:19" x14ac:dyDescent="0.35">
      <c r="A78" s="1" t="s">
        <v>280</v>
      </c>
      <c r="B78" s="2">
        <v>44797</v>
      </c>
      <c r="C78" s="1" t="s">
        <v>281</v>
      </c>
      <c r="D78" s="1" t="s">
        <v>282</v>
      </c>
      <c r="E78" s="1" t="s">
        <v>124</v>
      </c>
      <c r="F78" s="1" t="s">
        <v>107</v>
      </c>
      <c r="G78" s="1">
        <v>17</v>
      </c>
      <c r="H78" s="1">
        <v>22385</v>
      </c>
      <c r="I78" s="1">
        <v>380545</v>
      </c>
      <c r="J78" s="1">
        <v>32215</v>
      </c>
      <c r="K78" s="1">
        <v>348330</v>
      </c>
      <c r="L78" s="1">
        <v>348330</v>
      </c>
      <c r="M78" s="1" t="s">
        <v>66</v>
      </c>
      <c r="N78" s="1" t="s">
        <v>40</v>
      </c>
      <c r="O78" s="1" t="s">
        <v>75</v>
      </c>
      <c r="P78" s="1" t="s">
        <v>27</v>
      </c>
      <c r="Q78" s="1">
        <v>2022</v>
      </c>
      <c r="R78" s="1">
        <v>8</v>
      </c>
      <c r="S78" s="1" t="s">
        <v>56</v>
      </c>
    </row>
    <row r="79" spans="1:19" x14ac:dyDescent="0.35">
      <c r="A79" s="1" t="s">
        <v>283</v>
      </c>
      <c r="B79" s="2">
        <v>45282</v>
      </c>
      <c r="C79" s="1" t="s">
        <v>284</v>
      </c>
      <c r="D79" s="1" t="s">
        <v>285</v>
      </c>
      <c r="E79" s="1" t="s">
        <v>53</v>
      </c>
      <c r="F79" s="1" t="s">
        <v>33</v>
      </c>
      <c r="G79" s="1">
        <v>18</v>
      </c>
      <c r="H79" s="1">
        <v>20190</v>
      </c>
      <c r="I79" s="1">
        <v>363420</v>
      </c>
      <c r="J79" s="1">
        <v>12735</v>
      </c>
      <c r="K79" s="1">
        <v>350685</v>
      </c>
      <c r="L79" s="1">
        <v>350685</v>
      </c>
      <c r="M79" s="1" t="s">
        <v>24</v>
      </c>
      <c r="N79" s="1" t="s">
        <v>40</v>
      </c>
      <c r="O79" s="1" t="s">
        <v>41</v>
      </c>
      <c r="P79" s="1" t="s">
        <v>27</v>
      </c>
      <c r="Q79" s="1">
        <v>2023</v>
      </c>
      <c r="R79" s="1">
        <v>12</v>
      </c>
      <c r="S79" s="1" t="s">
        <v>28</v>
      </c>
    </row>
    <row r="80" spans="1:19" x14ac:dyDescent="0.35">
      <c r="A80" s="1" t="s">
        <v>286</v>
      </c>
      <c r="B80" s="2">
        <v>45388</v>
      </c>
      <c r="C80" s="1" t="s">
        <v>287</v>
      </c>
      <c r="D80" s="1" t="s">
        <v>288</v>
      </c>
      <c r="E80" s="1" t="s">
        <v>22</v>
      </c>
      <c r="F80" s="1" t="s">
        <v>23</v>
      </c>
      <c r="G80" s="1">
        <v>20</v>
      </c>
      <c r="H80" s="1">
        <v>36436</v>
      </c>
      <c r="I80" s="1">
        <v>728720</v>
      </c>
      <c r="J80" s="1">
        <v>25444</v>
      </c>
      <c r="K80" s="1">
        <v>703276</v>
      </c>
      <c r="L80" s="1">
        <v>703276</v>
      </c>
      <c r="M80" s="1" t="s">
        <v>24</v>
      </c>
      <c r="N80" s="1" t="s">
        <v>40</v>
      </c>
      <c r="O80" s="1" t="s">
        <v>75</v>
      </c>
      <c r="P80" s="1" t="s">
        <v>27</v>
      </c>
      <c r="Q80" s="1">
        <v>2024</v>
      </c>
      <c r="R80" s="1">
        <v>4</v>
      </c>
      <c r="S80" s="1" t="s">
        <v>35</v>
      </c>
    </row>
    <row r="81" spans="1:19" x14ac:dyDescent="0.35">
      <c r="A81" s="1" t="s">
        <v>289</v>
      </c>
      <c r="B81" s="2">
        <v>44346</v>
      </c>
      <c r="C81" s="1" t="s">
        <v>290</v>
      </c>
      <c r="D81" s="1" t="s">
        <v>291</v>
      </c>
      <c r="E81" s="1" t="s">
        <v>106</v>
      </c>
      <c r="F81" s="1" t="s">
        <v>107</v>
      </c>
      <c r="G81" s="1">
        <v>30</v>
      </c>
      <c r="H81" s="1">
        <v>4108</v>
      </c>
      <c r="I81" s="1">
        <v>123240</v>
      </c>
      <c r="J81" s="1">
        <v>24095</v>
      </c>
      <c r="K81" s="1">
        <v>99145</v>
      </c>
      <c r="L81" s="1">
        <v>99145</v>
      </c>
      <c r="M81" s="1" t="s">
        <v>39</v>
      </c>
      <c r="N81" s="1" t="s">
        <v>25</v>
      </c>
      <c r="O81" s="1" t="s">
        <v>80</v>
      </c>
      <c r="P81" s="1" t="s">
        <v>27</v>
      </c>
      <c r="Q81" s="1">
        <v>2021</v>
      </c>
      <c r="R81" s="1">
        <v>5</v>
      </c>
      <c r="S81" s="1" t="s">
        <v>35</v>
      </c>
    </row>
    <row r="82" spans="1:19" x14ac:dyDescent="0.35">
      <c r="A82" s="1" t="s">
        <v>292</v>
      </c>
      <c r="B82" s="2">
        <v>43750</v>
      </c>
      <c r="C82" s="1" t="s">
        <v>293</v>
      </c>
      <c r="D82" s="1" t="s">
        <v>294</v>
      </c>
      <c r="E82" s="1" t="s">
        <v>60</v>
      </c>
      <c r="F82" s="1" t="s">
        <v>46</v>
      </c>
      <c r="G82" s="1">
        <v>25</v>
      </c>
      <c r="H82" s="1">
        <v>1354</v>
      </c>
      <c r="I82" s="1">
        <v>33850</v>
      </c>
      <c r="J82" s="1">
        <v>6347</v>
      </c>
      <c r="K82" s="1">
        <v>27503</v>
      </c>
      <c r="L82" s="1">
        <v>27503</v>
      </c>
      <c r="M82" s="1" t="s">
        <v>66</v>
      </c>
      <c r="N82" s="1" t="s">
        <v>40</v>
      </c>
      <c r="O82" s="1" t="s">
        <v>75</v>
      </c>
      <c r="P82" s="1" t="s">
        <v>27</v>
      </c>
      <c r="Q82" s="1">
        <v>2019</v>
      </c>
      <c r="R82" s="1">
        <v>10</v>
      </c>
      <c r="S82" s="1" t="s">
        <v>28</v>
      </c>
    </row>
    <row r="83" spans="1:19" x14ac:dyDescent="0.35">
      <c r="A83" s="1" t="s">
        <v>295</v>
      </c>
      <c r="B83" s="2">
        <v>45574</v>
      </c>
      <c r="C83" s="1" t="s">
        <v>296</v>
      </c>
      <c r="D83" s="1" t="s">
        <v>139</v>
      </c>
      <c r="E83" s="1" t="s">
        <v>79</v>
      </c>
      <c r="F83" s="1" t="s">
        <v>23</v>
      </c>
      <c r="G83" s="1">
        <v>28</v>
      </c>
      <c r="H83" s="1">
        <v>47180</v>
      </c>
      <c r="I83" s="1">
        <v>1321040</v>
      </c>
      <c r="J83" s="1">
        <v>248045</v>
      </c>
      <c r="K83" s="1">
        <v>1072995</v>
      </c>
      <c r="L83" s="1">
        <v>1072995</v>
      </c>
      <c r="M83" s="1" t="s">
        <v>84</v>
      </c>
      <c r="N83" s="1" t="s">
        <v>101</v>
      </c>
      <c r="O83" s="1" t="s">
        <v>108</v>
      </c>
      <c r="P83" s="1" t="s">
        <v>27</v>
      </c>
      <c r="Q83" s="1">
        <v>2024</v>
      </c>
      <c r="R83" s="1">
        <v>10</v>
      </c>
      <c r="S83" s="1" t="s">
        <v>28</v>
      </c>
    </row>
    <row r="84" spans="1:19" x14ac:dyDescent="0.35">
      <c r="A84" s="1" t="s">
        <v>297</v>
      </c>
      <c r="B84" s="2">
        <v>44999</v>
      </c>
      <c r="C84" s="1" t="s">
        <v>298</v>
      </c>
      <c r="D84" s="1" t="s">
        <v>299</v>
      </c>
      <c r="E84" s="1" t="s">
        <v>32</v>
      </c>
      <c r="F84" s="1" t="s">
        <v>33</v>
      </c>
      <c r="G84" s="1">
        <v>16</v>
      </c>
      <c r="H84" s="1">
        <v>16569</v>
      </c>
      <c r="I84" s="1">
        <v>265104</v>
      </c>
      <c r="J84" s="1">
        <v>31009</v>
      </c>
      <c r="K84" s="1">
        <v>234095</v>
      </c>
      <c r="L84" s="1">
        <v>234095</v>
      </c>
      <c r="M84" s="1" t="s">
        <v>66</v>
      </c>
      <c r="N84" s="1" t="s">
        <v>54</v>
      </c>
      <c r="O84" s="1" t="s">
        <v>67</v>
      </c>
      <c r="P84" s="1" t="s">
        <v>27</v>
      </c>
      <c r="Q84" s="1">
        <v>2023</v>
      </c>
      <c r="R84" s="1">
        <v>3</v>
      </c>
      <c r="S84" s="1" t="s">
        <v>68</v>
      </c>
    </row>
    <row r="85" spans="1:19" x14ac:dyDescent="0.35">
      <c r="A85" s="1" t="s">
        <v>300</v>
      </c>
      <c r="B85" s="2">
        <v>44983</v>
      </c>
      <c r="C85" s="1" t="s">
        <v>301</v>
      </c>
      <c r="D85" s="1" t="s">
        <v>302</v>
      </c>
      <c r="E85" s="1" t="s">
        <v>106</v>
      </c>
      <c r="F85" s="1" t="s">
        <v>107</v>
      </c>
      <c r="G85" s="1">
        <v>29</v>
      </c>
      <c r="H85" s="1">
        <v>13194</v>
      </c>
      <c r="I85" s="1">
        <v>382626</v>
      </c>
      <c r="J85" s="1">
        <v>37831</v>
      </c>
      <c r="K85" s="1">
        <v>344795</v>
      </c>
      <c r="L85" s="1">
        <v>344795</v>
      </c>
      <c r="M85" s="1" t="s">
        <v>39</v>
      </c>
      <c r="N85" s="1" t="s">
        <v>61</v>
      </c>
      <c r="O85" s="1" t="s">
        <v>62</v>
      </c>
      <c r="P85" s="1" t="s">
        <v>27</v>
      </c>
      <c r="Q85" s="1">
        <v>2023</v>
      </c>
      <c r="R85" s="1">
        <v>2</v>
      </c>
      <c r="S85" s="1" t="s">
        <v>68</v>
      </c>
    </row>
    <row r="86" spans="1:19" x14ac:dyDescent="0.35">
      <c r="A86" s="1" t="s">
        <v>303</v>
      </c>
      <c r="B86" s="2">
        <v>44097</v>
      </c>
      <c r="C86" s="1" t="s">
        <v>304</v>
      </c>
      <c r="D86" s="1" t="s">
        <v>305</v>
      </c>
      <c r="E86" s="1" t="s">
        <v>79</v>
      </c>
      <c r="F86" s="1" t="s">
        <v>23</v>
      </c>
      <c r="G86" s="1">
        <v>2</v>
      </c>
      <c r="H86" s="1">
        <v>3550</v>
      </c>
      <c r="I86" s="1">
        <v>7100</v>
      </c>
      <c r="J86" s="1">
        <v>1363</v>
      </c>
      <c r="K86" s="1">
        <v>5737</v>
      </c>
      <c r="L86" s="1">
        <v>5737</v>
      </c>
      <c r="M86" s="1" t="s">
        <v>66</v>
      </c>
      <c r="N86" s="1" t="s">
        <v>25</v>
      </c>
      <c r="O86" s="1" t="s">
        <v>26</v>
      </c>
      <c r="P86" s="1" t="s">
        <v>27</v>
      </c>
      <c r="Q86" s="1">
        <v>2020</v>
      </c>
      <c r="R86" s="1">
        <v>9</v>
      </c>
      <c r="S86" s="1" t="s">
        <v>56</v>
      </c>
    </row>
    <row r="87" spans="1:19" x14ac:dyDescent="0.35">
      <c r="A87" s="1" t="s">
        <v>306</v>
      </c>
      <c r="B87" s="2">
        <v>44413</v>
      </c>
      <c r="C87" s="1" t="s">
        <v>307</v>
      </c>
      <c r="D87" s="1" t="s">
        <v>308</v>
      </c>
      <c r="E87" s="1" t="s">
        <v>106</v>
      </c>
      <c r="F87" s="1" t="s">
        <v>107</v>
      </c>
      <c r="G87" s="1">
        <v>2</v>
      </c>
      <c r="H87" s="1">
        <v>37718</v>
      </c>
      <c r="I87" s="1">
        <v>75436</v>
      </c>
      <c r="J87" s="1">
        <v>12371</v>
      </c>
      <c r="K87" s="1">
        <v>63065</v>
      </c>
      <c r="L87" s="1">
        <v>63065</v>
      </c>
      <c r="M87" s="1" t="s">
        <v>47</v>
      </c>
      <c r="N87" s="1" t="s">
        <v>61</v>
      </c>
      <c r="O87" s="1" t="s">
        <v>62</v>
      </c>
      <c r="P87" s="1" t="s">
        <v>27</v>
      </c>
      <c r="Q87" s="1">
        <v>2021</v>
      </c>
      <c r="R87" s="1">
        <v>8</v>
      </c>
      <c r="S87" s="1" t="s">
        <v>56</v>
      </c>
    </row>
    <row r="88" spans="1:19" x14ac:dyDescent="0.35">
      <c r="A88" s="1" t="s">
        <v>309</v>
      </c>
      <c r="B88" s="2">
        <v>44256</v>
      </c>
      <c r="C88" s="1" t="s">
        <v>304</v>
      </c>
      <c r="D88" s="1" t="s">
        <v>310</v>
      </c>
      <c r="E88" s="1" t="s">
        <v>124</v>
      </c>
      <c r="F88" s="1" t="s">
        <v>107</v>
      </c>
      <c r="G88" s="1">
        <v>20</v>
      </c>
      <c r="H88" s="1">
        <v>16599</v>
      </c>
      <c r="I88" s="1">
        <v>331980</v>
      </c>
      <c r="J88" s="1">
        <v>8567</v>
      </c>
      <c r="K88" s="1">
        <v>323413</v>
      </c>
      <c r="L88" s="1">
        <v>323413</v>
      </c>
      <c r="M88" s="1" t="s">
        <v>39</v>
      </c>
      <c r="N88" s="1" t="s">
        <v>40</v>
      </c>
      <c r="O88" s="1" t="s">
        <v>75</v>
      </c>
      <c r="P88" s="1" t="s">
        <v>27</v>
      </c>
      <c r="Q88" s="1">
        <v>2021</v>
      </c>
      <c r="R88" s="1">
        <v>3</v>
      </c>
      <c r="S88" s="1" t="s">
        <v>68</v>
      </c>
    </row>
    <row r="89" spans="1:19" x14ac:dyDescent="0.35">
      <c r="A89" s="1" t="s">
        <v>311</v>
      </c>
      <c r="B89" s="2">
        <v>43738</v>
      </c>
      <c r="C89" s="1" t="s">
        <v>312</v>
      </c>
      <c r="D89" s="1" t="s">
        <v>313</v>
      </c>
      <c r="E89" s="1" t="s">
        <v>79</v>
      </c>
      <c r="F89" s="1" t="s">
        <v>23</v>
      </c>
      <c r="G89" s="1">
        <v>9</v>
      </c>
      <c r="H89" s="1">
        <v>25533</v>
      </c>
      <c r="I89" s="1">
        <v>229797</v>
      </c>
      <c r="J89" s="1">
        <v>1903</v>
      </c>
      <c r="K89" s="1">
        <v>227894</v>
      </c>
      <c r="L89" s="1">
        <v>227894</v>
      </c>
      <c r="M89" s="1" t="s">
        <v>34</v>
      </c>
      <c r="N89" s="1" t="s">
        <v>101</v>
      </c>
      <c r="O89" s="1" t="s">
        <v>108</v>
      </c>
      <c r="P89" s="1" t="s">
        <v>27</v>
      </c>
      <c r="Q89" s="1">
        <v>2019</v>
      </c>
      <c r="R89" s="1">
        <v>9</v>
      </c>
      <c r="S89" s="1" t="s">
        <v>56</v>
      </c>
    </row>
    <row r="90" spans="1:19" x14ac:dyDescent="0.35">
      <c r="A90" s="1" t="s">
        <v>314</v>
      </c>
      <c r="B90" s="2">
        <v>45130</v>
      </c>
      <c r="C90" s="1" t="s">
        <v>315</v>
      </c>
      <c r="D90" s="1" t="s">
        <v>316</v>
      </c>
      <c r="E90" s="1" t="s">
        <v>124</v>
      </c>
      <c r="F90" s="1" t="s">
        <v>107</v>
      </c>
      <c r="G90" s="1">
        <v>4</v>
      </c>
      <c r="H90" s="1">
        <v>52374</v>
      </c>
      <c r="I90" s="1">
        <v>209496</v>
      </c>
      <c r="J90" s="1">
        <v>14365</v>
      </c>
      <c r="K90" s="1">
        <v>195131</v>
      </c>
      <c r="L90" s="1">
        <v>195131</v>
      </c>
      <c r="M90" s="1" t="s">
        <v>39</v>
      </c>
      <c r="N90" s="1" t="s">
        <v>54</v>
      </c>
      <c r="O90" s="1" t="s">
        <v>67</v>
      </c>
      <c r="P90" s="1" t="s">
        <v>27</v>
      </c>
      <c r="Q90" s="1">
        <v>2023</v>
      </c>
      <c r="R90" s="1">
        <v>7</v>
      </c>
      <c r="S90" s="1" t="s">
        <v>56</v>
      </c>
    </row>
    <row r="91" spans="1:19" x14ac:dyDescent="0.35">
      <c r="A91" s="1" t="s">
        <v>317</v>
      </c>
      <c r="B91" s="2">
        <v>44245</v>
      </c>
      <c r="C91" s="1" t="s">
        <v>318</v>
      </c>
      <c r="D91" s="1" t="s">
        <v>319</v>
      </c>
      <c r="E91" s="1" t="s">
        <v>106</v>
      </c>
      <c r="F91" s="1" t="s">
        <v>107</v>
      </c>
      <c r="G91" s="1">
        <v>20</v>
      </c>
      <c r="H91" s="1">
        <v>39622</v>
      </c>
      <c r="I91" s="1">
        <v>792440</v>
      </c>
      <c r="J91" s="1">
        <v>77045</v>
      </c>
      <c r="K91" s="1">
        <v>715395</v>
      </c>
      <c r="L91" s="1">
        <v>715395</v>
      </c>
      <c r="M91" s="1" t="s">
        <v>47</v>
      </c>
      <c r="N91" s="1" t="s">
        <v>101</v>
      </c>
      <c r="O91" s="1" t="s">
        <v>108</v>
      </c>
      <c r="P91" s="1" t="s">
        <v>27</v>
      </c>
      <c r="Q91" s="1">
        <v>2021</v>
      </c>
      <c r="R91" s="1">
        <v>2</v>
      </c>
      <c r="S91" s="1" t="s">
        <v>68</v>
      </c>
    </row>
    <row r="92" spans="1:19" x14ac:dyDescent="0.35">
      <c r="A92" s="1" t="s">
        <v>320</v>
      </c>
      <c r="B92" s="2">
        <v>44939</v>
      </c>
      <c r="C92" s="1" t="s">
        <v>209</v>
      </c>
      <c r="D92" s="1" t="s">
        <v>321</v>
      </c>
      <c r="E92" s="1" t="s">
        <v>106</v>
      </c>
      <c r="F92" s="1" t="s">
        <v>107</v>
      </c>
      <c r="G92" s="1">
        <v>20</v>
      </c>
      <c r="H92" s="1">
        <v>8857</v>
      </c>
      <c r="I92" s="1">
        <v>177140</v>
      </c>
      <c r="J92" s="1">
        <v>32896</v>
      </c>
      <c r="K92" s="1">
        <v>144244</v>
      </c>
      <c r="L92" s="1">
        <v>144244</v>
      </c>
      <c r="M92" s="1" t="s">
        <v>84</v>
      </c>
      <c r="N92" s="1" t="s">
        <v>48</v>
      </c>
      <c r="O92" s="1" t="s">
        <v>49</v>
      </c>
      <c r="P92" s="1" t="s">
        <v>27</v>
      </c>
      <c r="Q92" s="1">
        <v>2023</v>
      </c>
      <c r="R92" s="1">
        <v>1</v>
      </c>
      <c r="S92" s="1" t="s">
        <v>68</v>
      </c>
    </row>
    <row r="93" spans="1:19" x14ac:dyDescent="0.35">
      <c r="A93" s="1" t="s">
        <v>322</v>
      </c>
      <c r="B93" s="2">
        <v>43667</v>
      </c>
      <c r="C93" s="1" t="s">
        <v>266</v>
      </c>
      <c r="D93" s="1" t="s">
        <v>323</v>
      </c>
      <c r="E93" s="1" t="s">
        <v>106</v>
      </c>
      <c r="F93" s="1" t="s">
        <v>107</v>
      </c>
      <c r="G93" s="1">
        <v>2</v>
      </c>
      <c r="H93" s="1">
        <v>33660</v>
      </c>
      <c r="I93" s="1">
        <v>67320</v>
      </c>
      <c r="J93" s="1">
        <v>8665</v>
      </c>
      <c r="K93" s="1">
        <v>58655</v>
      </c>
      <c r="L93" s="1">
        <v>58655</v>
      </c>
      <c r="M93" s="1" t="s">
        <v>66</v>
      </c>
      <c r="N93" s="1" t="s">
        <v>61</v>
      </c>
      <c r="O93" s="1" t="s">
        <v>62</v>
      </c>
      <c r="P93" s="1" t="s">
        <v>27</v>
      </c>
      <c r="Q93" s="1">
        <v>2019</v>
      </c>
      <c r="R93" s="1">
        <v>7</v>
      </c>
      <c r="S93" s="1" t="s">
        <v>56</v>
      </c>
    </row>
    <row r="94" spans="1:19" x14ac:dyDescent="0.35">
      <c r="A94" s="1" t="s">
        <v>324</v>
      </c>
      <c r="B94" s="2">
        <v>44369</v>
      </c>
      <c r="C94" s="1" t="s">
        <v>325</v>
      </c>
      <c r="D94" s="1" t="s">
        <v>326</v>
      </c>
      <c r="E94" s="1" t="s">
        <v>79</v>
      </c>
      <c r="F94" s="1" t="s">
        <v>23</v>
      </c>
      <c r="G94" s="1">
        <v>30</v>
      </c>
      <c r="H94" s="1">
        <v>34433</v>
      </c>
      <c r="I94" s="1">
        <v>1032990</v>
      </c>
      <c r="J94" s="1">
        <v>180076</v>
      </c>
      <c r="K94" s="1">
        <v>852914</v>
      </c>
      <c r="L94" s="1">
        <v>852914</v>
      </c>
      <c r="M94" s="1" t="s">
        <v>24</v>
      </c>
      <c r="N94" s="1" t="s">
        <v>25</v>
      </c>
      <c r="O94" s="1" t="s">
        <v>26</v>
      </c>
      <c r="P94" s="1" t="s">
        <v>27</v>
      </c>
      <c r="Q94" s="1">
        <v>2021</v>
      </c>
      <c r="R94" s="1">
        <v>6</v>
      </c>
      <c r="S94" s="1" t="s">
        <v>35</v>
      </c>
    </row>
    <row r="95" spans="1:19" x14ac:dyDescent="0.35">
      <c r="A95" s="1" t="s">
        <v>327</v>
      </c>
      <c r="B95" s="2">
        <v>44441</v>
      </c>
      <c r="C95" s="1" t="s">
        <v>70</v>
      </c>
      <c r="D95" s="1" t="s">
        <v>328</v>
      </c>
      <c r="E95" s="1" t="s">
        <v>22</v>
      </c>
      <c r="F95" s="1" t="s">
        <v>23</v>
      </c>
      <c r="G95" s="1">
        <v>18</v>
      </c>
      <c r="H95" s="1">
        <v>17316</v>
      </c>
      <c r="I95" s="1">
        <v>311688</v>
      </c>
      <c r="J95" s="1">
        <v>2893</v>
      </c>
      <c r="K95" s="1">
        <v>308795</v>
      </c>
      <c r="L95" s="1">
        <v>308795</v>
      </c>
      <c r="M95" s="1" t="s">
        <v>66</v>
      </c>
      <c r="N95" s="1" t="s">
        <v>101</v>
      </c>
      <c r="O95" s="1" t="s">
        <v>102</v>
      </c>
      <c r="P95" s="1" t="s">
        <v>27</v>
      </c>
      <c r="Q95" s="1">
        <v>2021</v>
      </c>
      <c r="R95" s="1">
        <v>9</v>
      </c>
      <c r="S95" s="1" t="s">
        <v>56</v>
      </c>
    </row>
    <row r="96" spans="1:19" x14ac:dyDescent="0.35">
      <c r="A96" s="1" t="s">
        <v>329</v>
      </c>
      <c r="B96" s="2">
        <v>44309</v>
      </c>
      <c r="C96" s="1" t="s">
        <v>330</v>
      </c>
      <c r="D96" s="1" t="s">
        <v>331</v>
      </c>
      <c r="E96" s="1" t="s">
        <v>79</v>
      </c>
      <c r="F96" s="1" t="s">
        <v>23</v>
      </c>
      <c r="G96" s="1">
        <v>20</v>
      </c>
      <c r="H96" s="1">
        <v>14234</v>
      </c>
      <c r="I96" s="1">
        <v>284680</v>
      </c>
      <c r="J96" s="1">
        <v>56573</v>
      </c>
      <c r="K96" s="1">
        <v>228107</v>
      </c>
      <c r="L96" s="1">
        <v>228107</v>
      </c>
      <c r="M96" s="1" t="s">
        <v>24</v>
      </c>
      <c r="N96" s="1" t="s">
        <v>61</v>
      </c>
      <c r="O96" s="1" t="s">
        <v>62</v>
      </c>
      <c r="P96" s="1" t="s">
        <v>27</v>
      </c>
      <c r="Q96" s="1">
        <v>2021</v>
      </c>
      <c r="R96" s="1">
        <v>4</v>
      </c>
      <c r="S96" s="1" t="s">
        <v>35</v>
      </c>
    </row>
    <row r="97" spans="1:19" x14ac:dyDescent="0.35">
      <c r="A97" s="1" t="s">
        <v>332</v>
      </c>
      <c r="B97" s="2">
        <v>44735</v>
      </c>
      <c r="C97" s="1" t="s">
        <v>333</v>
      </c>
      <c r="D97" s="1" t="s">
        <v>334</v>
      </c>
      <c r="E97" s="1" t="s">
        <v>106</v>
      </c>
      <c r="F97" s="1" t="s">
        <v>107</v>
      </c>
      <c r="G97" s="1">
        <v>11</v>
      </c>
      <c r="H97" s="1">
        <v>42819</v>
      </c>
      <c r="I97" s="1">
        <v>471009</v>
      </c>
      <c r="J97" s="1">
        <v>4824</v>
      </c>
      <c r="K97" s="1">
        <v>466185</v>
      </c>
      <c r="L97" s="1">
        <v>466185</v>
      </c>
      <c r="M97" s="1" t="s">
        <v>84</v>
      </c>
      <c r="N97" s="1" t="s">
        <v>101</v>
      </c>
      <c r="O97" s="1" t="s">
        <v>102</v>
      </c>
      <c r="P97" s="1" t="s">
        <v>27</v>
      </c>
      <c r="Q97" s="1">
        <v>2022</v>
      </c>
      <c r="R97" s="1">
        <v>6</v>
      </c>
      <c r="S97" s="1" t="s">
        <v>35</v>
      </c>
    </row>
    <row r="98" spans="1:19" x14ac:dyDescent="0.35">
      <c r="A98" s="1" t="s">
        <v>335</v>
      </c>
      <c r="B98" s="2">
        <v>44057</v>
      </c>
      <c r="C98" s="1" t="s">
        <v>147</v>
      </c>
      <c r="D98" s="1" t="s">
        <v>336</v>
      </c>
      <c r="E98" s="1" t="s">
        <v>22</v>
      </c>
      <c r="F98" s="1" t="s">
        <v>23</v>
      </c>
      <c r="G98" s="1">
        <v>17</v>
      </c>
      <c r="H98" s="1">
        <v>18781</v>
      </c>
      <c r="I98" s="1">
        <v>319277</v>
      </c>
      <c r="J98" s="1">
        <v>20594</v>
      </c>
      <c r="K98" s="1">
        <v>298683</v>
      </c>
      <c r="L98" s="1">
        <v>298683</v>
      </c>
      <c r="M98" s="1" t="s">
        <v>34</v>
      </c>
      <c r="N98" s="1" t="s">
        <v>40</v>
      </c>
      <c r="O98" s="1" t="s">
        <v>125</v>
      </c>
      <c r="P98" s="1" t="s">
        <v>27</v>
      </c>
      <c r="Q98" s="1">
        <v>2020</v>
      </c>
      <c r="R98" s="1">
        <v>8</v>
      </c>
      <c r="S98" s="1" t="s">
        <v>56</v>
      </c>
    </row>
    <row r="99" spans="1:19" x14ac:dyDescent="0.35">
      <c r="A99" s="1" t="s">
        <v>337</v>
      </c>
      <c r="B99" s="2">
        <v>44590</v>
      </c>
      <c r="C99" s="1" t="s">
        <v>215</v>
      </c>
      <c r="D99" s="1" t="s">
        <v>338</v>
      </c>
      <c r="E99" s="1" t="s">
        <v>22</v>
      </c>
      <c r="F99" s="1" t="s">
        <v>23</v>
      </c>
      <c r="G99" s="1">
        <v>26</v>
      </c>
      <c r="H99" s="1">
        <v>46161</v>
      </c>
      <c r="I99" s="1">
        <v>1200186</v>
      </c>
      <c r="J99" s="1">
        <v>211156</v>
      </c>
      <c r="K99" s="1">
        <v>989030</v>
      </c>
      <c r="L99" s="1">
        <v>989030</v>
      </c>
      <c r="M99" s="1" t="s">
        <v>84</v>
      </c>
      <c r="N99" s="1" t="s">
        <v>61</v>
      </c>
      <c r="O99" s="1" t="s">
        <v>62</v>
      </c>
      <c r="P99" s="1" t="s">
        <v>27</v>
      </c>
      <c r="Q99" s="1">
        <v>2022</v>
      </c>
      <c r="R99" s="1">
        <v>1</v>
      </c>
      <c r="S99" s="1" t="s">
        <v>68</v>
      </c>
    </row>
    <row r="100" spans="1:19" x14ac:dyDescent="0.35">
      <c r="A100" s="1" t="s">
        <v>339</v>
      </c>
      <c r="B100" s="2">
        <v>45395</v>
      </c>
      <c r="C100" s="1" t="s">
        <v>340</v>
      </c>
      <c r="D100" s="1" t="s">
        <v>341</v>
      </c>
      <c r="E100" s="1" t="s">
        <v>79</v>
      </c>
      <c r="F100" s="1" t="s">
        <v>23</v>
      </c>
      <c r="G100" s="1">
        <v>14</v>
      </c>
      <c r="H100" s="1">
        <v>59181</v>
      </c>
      <c r="I100" s="1">
        <v>828534</v>
      </c>
      <c r="J100" s="1">
        <v>75073</v>
      </c>
      <c r="K100" s="1">
        <v>753461</v>
      </c>
      <c r="L100" s="1">
        <v>753461</v>
      </c>
      <c r="M100" s="1" t="s">
        <v>24</v>
      </c>
      <c r="N100" s="1" t="s">
        <v>40</v>
      </c>
      <c r="O100" s="1" t="s">
        <v>75</v>
      </c>
      <c r="P100" s="1" t="s">
        <v>27</v>
      </c>
      <c r="Q100" s="1">
        <v>2024</v>
      </c>
      <c r="R100" s="1">
        <v>4</v>
      </c>
      <c r="S100" s="1" t="s">
        <v>35</v>
      </c>
    </row>
    <row r="101" spans="1:19" x14ac:dyDescent="0.35">
      <c r="A101" s="1" t="s">
        <v>342</v>
      </c>
      <c r="B101" s="2">
        <v>43633</v>
      </c>
      <c r="C101" s="1" t="s">
        <v>343</v>
      </c>
      <c r="D101" s="1" t="s">
        <v>344</v>
      </c>
      <c r="E101" s="1" t="s">
        <v>53</v>
      </c>
      <c r="F101" s="1" t="s">
        <v>33</v>
      </c>
      <c r="G101" s="1">
        <v>24</v>
      </c>
      <c r="H101" s="1">
        <v>50424</v>
      </c>
      <c r="I101" s="1">
        <v>1210176</v>
      </c>
      <c r="J101" s="1">
        <v>8933</v>
      </c>
      <c r="K101" s="1">
        <v>1201243</v>
      </c>
      <c r="L101" s="1">
        <v>1201243</v>
      </c>
      <c r="M101" s="1" t="s">
        <v>84</v>
      </c>
      <c r="N101" s="1" t="s">
        <v>25</v>
      </c>
      <c r="O101" s="1" t="s">
        <v>26</v>
      </c>
      <c r="P101" s="1" t="s">
        <v>27</v>
      </c>
      <c r="Q101" s="1">
        <v>2019</v>
      </c>
      <c r="R101" s="1">
        <v>6</v>
      </c>
      <c r="S101" s="1" t="s">
        <v>35</v>
      </c>
    </row>
    <row r="102" spans="1:19" x14ac:dyDescent="0.35">
      <c r="A102" s="1" t="s">
        <v>345</v>
      </c>
      <c r="B102" s="2">
        <v>44471</v>
      </c>
      <c r="C102" s="1" t="s">
        <v>346</v>
      </c>
      <c r="D102" s="1" t="s">
        <v>71</v>
      </c>
      <c r="E102" s="1" t="s">
        <v>60</v>
      </c>
      <c r="F102" s="1" t="s">
        <v>46</v>
      </c>
      <c r="G102" s="1">
        <v>8</v>
      </c>
      <c r="H102" s="1">
        <v>22379</v>
      </c>
      <c r="I102" s="1">
        <v>179032</v>
      </c>
      <c r="J102" s="1">
        <v>32008</v>
      </c>
      <c r="K102" s="1">
        <v>147024</v>
      </c>
      <c r="L102" s="1">
        <v>147024</v>
      </c>
      <c r="M102" s="1" t="s">
        <v>24</v>
      </c>
      <c r="N102" s="1" t="s">
        <v>25</v>
      </c>
      <c r="O102" s="1" t="s">
        <v>80</v>
      </c>
      <c r="P102" s="1" t="s">
        <v>27</v>
      </c>
      <c r="Q102" s="1">
        <v>2021</v>
      </c>
      <c r="R102" s="1">
        <v>10</v>
      </c>
      <c r="S102" s="1" t="s">
        <v>28</v>
      </c>
    </row>
    <row r="103" spans="1:19" x14ac:dyDescent="0.35">
      <c r="A103" s="1" t="s">
        <v>347</v>
      </c>
      <c r="B103" s="2">
        <v>44702</v>
      </c>
      <c r="C103" s="1" t="s">
        <v>162</v>
      </c>
      <c r="D103" s="1" t="s">
        <v>341</v>
      </c>
      <c r="E103" s="1" t="s">
        <v>79</v>
      </c>
      <c r="F103" s="1" t="s">
        <v>23</v>
      </c>
      <c r="G103" s="1">
        <v>16</v>
      </c>
      <c r="H103" s="1">
        <v>13974</v>
      </c>
      <c r="I103" s="1">
        <v>223584</v>
      </c>
      <c r="J103" s="1">
        <v>41811</v>
      </c>
      <c r="K103" s="1">
        <v>181773</v>
      </c>
      <c r="L103" s="1">
        <v>181773</v>
      </c>
      <c r="M103" s="1" t="s">
        <v>24</v>
      </c>
      <c r="N103" s="1" t="s">
        <v>54</v>
      </c>
      <c r="O103" s="1" t="s">
        <v>55</v>
      </c>
      <c r="P103" s="1" t="s">
        <v>27</v>
      </c>
      <c r="Q103" s="1">
        <v>2022</v>
      </c>
      <c r="R103" s="1">
        <v>5</v>
      </c>
      <c r="S103" s="1" t="s">
        <v>35</v>
      </c>
    </row>
    <row r="104" spans="1:19" x14ac:dyDescent="0.35">
      <c r="A104" s="1" t="s">
        <v>348</v>
      </c>
      <c r="B104" s="2">
        <v>45368</v>
      </c>
      <c r="C104" s="1" t="s">
        <v>349</v>
      </c>
      <c r="D104" s="1" t="s">
        <v>350</v>
      </c>
      <c r="E104" s="1" t="s">
        <v>45</v>
      </c>
      <c r="F104" s="1" t="s">
        <v>46</v>
      </c>
      <c r="G104" s="1">
        <v>21</v>
      </c>
      <c r="H104" s="1">
        <v>28565</v>
      </c>
      <c r="I104" s="1">
        <v>599865</v>
      </c>
      <c r="J104" s="1">
        <v>66065</v>
      </c>
      <c r="K104" s="1">
        <v>533800</v>
      </c>
      <c r="L104" s="1">
        <v>533800</v>
      </c>
      <c r="M104" s="1" t="s">
        <v>39</v>
      </c>
      <c r="N104" s="1" t="s">
        <v>54</v>
      </c>
      <c r="O104" s="1" t="s">
        <v>55</v>
      </c>
      <c r="P104" s="1" t="s">
        <v>27</v>
      </c>
      <c r="Q104" s="1">
        <v>2024</v>
      </c>
      <c r="R104" s="1">
        <v>3</v>
      </c>
      <c r="S104" s="1" t="s">
        <v>68</v>
      </c>
    </row>
    <row r="105" spans="1:19" x14ac:dyDescent="0.35">
      <c r="A105" s="1" t="s">
        <v>351</v>
      </c>
      <c r="B105" s="2">
        <v>43814</v>
      </c>
      <c r="C105" s="1" t="s">
        <v>352</v>
      </c>
      <c r="D105" s="1" t="s">
        <v>353</v>
      </c>
      <c r="E105" s="1" t="s">
        <v>53</v>
      </c>
      <c r="F105" s="1" t="s">
        <v>33</v>
      </c>
      <c r="G105" s="1">
        <v>23</v>
      </c>
      <c r="H105" s="1">
        <v>13236</v>
      </c>
      <c r="I105" s="1">
        <v>304428</v>
      </c>
      <c r="J105" s="1">
        <v>54292</v>
      </c>
      <c r="K105" s="1">
        <v>250136</v>
      </c>
      <c r="L105" s="1">
        <v>250136</v>
      </c>
      <c r="M105" s="1" t="s">
        <v>66</v>
      </c>
      <c r="N105" s="1" t="s">
        <v>54</v>
      </c>
      <c r="O105" s="1" t="s">
        <v>55</v>
      </c>
      <c r="P105" s="1" t="s">
        <v>27</v>
      </c>
      <c r="Q105" s="1">
        <v>2019</v>
      </c>
      <c r="R105" s="1">
        <v>12</v>
      </c>
      <c r="S105" s="1" t="s">
        <v>28</v>
      </c>
    </row>
    <row r="106" spans="1:19" x14ac:dyDescent="0.35">
      <c r="A106" s="1" t="s">
        <v>354</v>
      </c>
      <c r="B106" s="2">
        <v>44287</v>
      </c>
      <c r="C106" s="1" t="s">
        <v>227</v>
      </c>
      <c r="D106" s="1" t="s">
        <v>355</v>
      </c>
      <c r="E106" s="1" t="s">
        <v>22</v>
      </c>
      <c r="F106" s="1" t="s">
        <v>23</v>
      </c>
      <c r="G106" s="1">
        <v>12</v>
      </c>
      <c r="H106" s="1">
        <v>30694</v>
      </c>
      <c r="I106" s="1">
        <v>368328</v>
      </c>
      <c r="J106" s="1">
        <v>7867</v>
      </c>
      <c r="K106" s="1">
        <v>360461</v>
      </c>
      <c r="L106" s="1">
        <v>360461</v>
      </c>
      <c r="M106" s="1" t="s">
        <v>39</v>
      </c>
      <c r="N106" s="1" t="s">
        <v>101</v>
      </c>
      <c r="O106" s="1" t="s">
        <v>102</v>
      </c>
      <c r="P106" s="1" t="s">
        <v>27</v>
      </c>
      <c r="Q106" s="1">
        <v>2021</v>
      </c>
      <c r="R106" s="1">
        <v>4</v>
      </c>
      <c r="S106" s="1" t="s">
        <v>35</v>
      </c>
    </row>
    <row r="107" spans="1:19" x14ac:dyDescent="0.35">
      <c r="A107" s="1" t="s">
        <v>356</v>
      </c>
      <c r="B107" s="2">
        <v>44846</v>
      </c>
      <c r="C107" s="1" t="s">
        <v>357</v>
      </c>
      <c r="D107" s="1" t="s">
        <v>358</v>
      </c>
      <c r="E107" s="1" t="s">
        <v>22</v>
      </c>
      <c r="F107" s="1" t="s">
        <v>23</v>
      </c>
      <c r="G107" s="1">
        <v>20</v>
      </c>
      <c r="H107" s="1">
        <v>11232</v>
      </c>
      <c r="I107" s="1">
        <v>224640</v>
      </c>
      <c r="J107" s="1">
        <v>15940</v>
      </c>
      <c r="K107" s="1">
        <v>208700</v>
      </c>
      <c r="L107" s="1">
        <v>208700</v>
      </c>
      <c r="M107" s="1" t="s">
        <v>24</v>
      </c>
      <c r="N107" s="1" t="s">
        <v>48</v>
      </c>
      <c r="O107" s="1" t="s">
        <v>49</v>
      </c>
      <c r="P107" s="1" t="s">
        <v>27</v>
      </c>
      <c r="Q107" s="1">
        <v>2022</v>
      </c>
      <c r="R107" s="1">
        <v>10</v>
      </c>
      <c r="S107" s="1" t="s">
        <v>28</v>
      </c>
    </row>
    <row r="108" spans="1:19" x14ac:dyDescent="0.35">
      <c r="A108" s="1" t="s">
        <v>359</v>
      </c>
      <c r="B108" s="2">
        <v>44420</v>
      </c>
      <c r="C108" s="1" t="s">
        <v>360</v>
      </c>
      <c r="D108" s="1" t="s">
        <v>361</v>
      </c>
      <c r="E108" s="1" t="s">
        <v>32</v>
      </c>
      <c r="F108" s="1" t="s">
        <v>33</v>
      </c>
      <c r="G108" s="1">
        <v>22</v>
      </c>
      <c r="H108" s="1">
        <v>12006</v>
      </c>
      <c r="I108" s="1">
        <v>264132</v>
      </c>
      <c r="J108" s="1">
        <v>9134</v>
      </c>
      <c r="K108" s="1">
        <v>254998</v>
      </c>
      <c r="L108" s="1">
        <v>254998</v>
      </c>
      <c r="M108" s="1" t="s">
        <v>47</v>
      </c>
      <c r="N108" s="1" t="s">
        <v>40</v>
      </c>
      <c r="O108" s="1" t="s">
        <v>125</v>
      </c>
      <c r="P108" s="1" t="s">
        <v>27</v>
      </c>
      <c r="Q108" s="1">
        <v>2021</v>
      </c>
      <c r="R108" s="1">
        <v>8</v>
      </c>
      <c r="S108" s="1" t="s">
        <v>56</v>
      </c>
    </row>
    <row r="109" spans="1:19" x14ac:dyDescent="0.35">
      <c r="A109" s="1" t="s">
        <v>362</v>
      </c>
      <c r="B109" s="2">
        <v>43931</v>
      </c>
      <c r="C109" s="1" t="s">
        <v>363</v>
      </c>
      <c r="D109" s="1" t="s">
        <v>157</v>
      </c>
      <c r="E109" s="1" t="s">
        <v>60</v>
      </c>
      <c r="F109" s="1" t="s">
        <v>46</v>
      </c>
      <c r="G109" s="1">
        <v>13</v>
      </c>
      <c r="H109" s="1">
        <v>1741</v>
      </c>
      <c r="I109" s="1">
        <v>22633</v>
      </c>
      <c r="J109" s="1">
        <v>2121</v>
      </c>
      <c r="K109" s="1">
        <v>20512</v>
      </c>
      <c r="L109" s="1">
        <v>20512</v>
      </c>
      <c r="M109" s="1" t="s">
        <v>66</v>
      </c>
      <c r="N109" s="1" t="s">
        <v>40</v>
      </c>
      <c r="O109" s="1" t="s">
        <v>41</v>
      </c>
      <c r="P109" s="1" t="s">
        <v>27</v>
      </c>
      <c r="Q109" s="1">
        <v>2020</v>
      </c>
      <c r="R109" s="1">
        <v>4</v>
      </c>
      <c r="S109" s="1" t="s">
        <v>35</v>
      </c>
    </row>
    <row r="110" spans="1:19" x14ac:dyDescent="0.35">
      <c r="A110" s="1" t="s">
        <v>364</v>
      </c>
      <c r="B110" s="2">
        <v>44464</v>
      </c>
      <c r="C110" s="1" t="s">
        <v>365</v>
      </c>
      <c r="D110" s="1" t="s">
        <v>366</v>
      </c>
      <c r="E110" s="1" t="s">
        <v>53</v>
      </c>
      <c r="F110" s="1" t="s">
        <v>33</v>
      </c>
      <c r="G110" s="1">
        <v>26</v>
      </c>
      <c r="H110" s="1">
        <v>35197</v>
      </c>
      <c r="I110" s="1">
        <v>915122</v>
      </c>
      <c r="J110" s="1">
        <v>127292</v>
      </c>
      <c r="K110" s="1">
        <v>787830</v>
      </c>
      <c r="L110" s="1">
        <v>787830</v>
      </c>
      <c r="M110" s="1" t="s">
        <v>24</v>
      </c>
      <c r="N110" s="1" t="s">
        <v>25</v>
      </c>
      <c r="O110" s="1" t="s">
        <v>80</v>
      </c>
      <c r="P110" s="1" t="s">
        <v>27</v>
      </c>
      <c r="Q110" s="1">
        <v>2021</v>
      </c>
      <c r="R110" s="1">
        <v>9</v>
      </c>
      <c r="S110" s="1" t="s">
        <v>56</v>
      </c>
    </row>
    <row r="111" spans="1:19" x14ac:dyDescent="0.35">
      <c r="A111" s="1" t="s">
        <v>367</v>
      </c>
      <c r="B111" s="2">
        <v>43968</v>
      </c>
      <c r="C111" s="1" t="s">
        <v>368</v>
      </c>
      <c r="D111" s="1" t="s">
        <v>369</v>
      </c>
      <c r="E111" s="1" t="s">
        <v>32</v>
      </c>
      <c r="F111" s="1" t="s">
        <v>33</v>
      </c>
      <c r="G111" s="1">
        <v>1</v>
      </c>
      <c r="H111" s="1">
        <v>22038</v>
      </c>
      <c r="I111" s="1">
        <v>22038</v>
      </c>
      <c r="J111" s="1">
        <v>3426</v>
      </c>
      <c r="K111" s="1">
        <v>18612</v>
      </c>
      <c r="L111" s="1">
        <v>18612</v>
      </c>
      <c r="M111" s="1" t="s">
        <v>84</v>
      </c>
      <c r="N111" s="1" t="s">
        <v>54</v>
      </c>
      <c r="O111" s="1" t="s">
        <v>55</v>
      </c>
      <c r="P111" s="1" t="s">
        <v>27</v>
      </c>
      <c r="Q111" s="1">
        <v>2020</v>
      </c>
      <c r="R111" s="1">
        <v>5</v>
      </c>
      <c r="S111" s="1" t="s">
        <v>35</v>
      </c>
    </row>
    <row r="112" spans="1:19" x14ac:dyDescent="0.35">
      <c r="A112" s="1" t="s">
        <v>370</v>
      </c>
      <c r="B112" s="2">
        <v>44339</v>
      </c>
      <c r="C112" s="1" t="s">
        <v>371</v>
      </c>
      <c r="D112" s="1" t="s">
        <v>372</v>
      </c>
      <c r="E112" s="1" t="s">
        <v>22</v>
      </c>
      <c r="F112" s="1" t="s">
        <v>23</v>
      </c>
      <c r="G112" s="1">
        <v>19</v>
      </c>
      <c r="H112" s="1">
        <v>15106</v>
      </c>
      <c r="I112" s="1">
        <v>287014</v>
      </c>
      <c r="J112" s="1">
        <v>761</v>
      </c>
      <c r="K112" s="1">
        <v>286253</v>
      </c>
      <c r="L112" s="1">
        <v>286253</v>
      </c>
      <c r="M112" s="1" t="s">
        <v>66</v>
      </c>
      <c r="N112" s="1" t="s">
        <v>101</v>
      </c>
      <c r="O112" s="1" t="s">
        <v>108</v>
      </c>
      <c r="P112" s="1" t="s">
        <v>27</v>
      </c>
      <c r="Q112" s="1">
        <v>2021</v>
      </c>
      <c r="R112" s="1">
        <v>5</v>
      </c>
      <c r="S112" s="1" t="s">
        <v>35</v>
      </c>
    </row>
    <row r="113" spans="1:19" x14ac:dyDescent="0.35">
      <c r="A113" s="1" t="s">
        <v>373</v>
      </c>
      <c r="B113" s="2">
        <v>44271</v>
      </c>
      <c r="C113" s="1" t="s">
        <v>374</v>
      </c>
      <c r="D113" s="1" t="s">
        <v>375</v>
      </c>
      <c r="E113" s="1" t="s">
        <v>60</v>
      </c>
      <c r="F113" s="1" t="s">
        <v>46</v>
      </c>
      <c r="G113" s="1">
        <v>21</v>
      </c>
      <c r="H113" s="1">
        <v>33583</v>
      </c>
      <c r="I113" s="1">
        <v>705243</v>
      </c>
      <c r="J113" s="1">
        <v>18017</v>
      </c>
      <c r="K113" s="1">
        <v>687226</v>
      </c>
      <c r="L113" s="1">
        <v>687226</v>
      </c>
      <c r="M113" s="1" t="s">
        <v>84</v>
      </c>
      <c r="N113" s="1" t="s">
        <v>61</v>
      </c>
      <c r="O113" s="1" t="s">
        <v>62</v>
      </c>
      <c r="P113" s="1" t="s">
        <v>27</v>
      </c>
      <c r="Q113" s="1">
        <v>2021</v>
      </c>
      <c r="R113" s="1">
        <v>3</v>
      </c>
      <c r="S113" s="1" t="s">
        <v>68</v>
      </c>
    </row>
    <row r="114" spans="1:19" x14ac:dyDescent="0.35">
      <c r="A114" s="1" t="s">
        <v>376</v>
      </c>
      <c r="B114" s="2">
        <v>44103</v>
      </c>
      <c r="C114" s="1" t="s">
        <v>64</v>
      </c>
      <c r="D114" s="1" t="s">
        <v>243</v>
      </c>
      <c r="E114" s="1" t="s">
        <v>32</v>
      </c>
      <c r="F114" s="1" t="s">
        <v>33</v>
      </c>
      <c r="G114" s="1">
        <v>27</v>
      </c>
      <c r="H114" s="1">
        <v>14140</v>
      </c>
      <c r="I114" s="1">
        <v>381780</v>
      </c>
      <c r="J114" s="1">
        <v>26895</v>
      </c>
      <c r="K114" s="1">
        <v>354885</v>
      </c>
      <c r="L114" s="1">
        <v>354885</v>
      </c>
      <c r="M114" s="1" t="s">
        <v>84</v>
      </c>
      <c r="N114" s="1" t="s">
        <v>101</v>
      </c>
      <c r="O114" s="1" t="s">
        <v>108</v>
      </c>
      <c r="P114" s="1" t="s">
        <v>27</v>
      </c>
      <c r="Q114" s="1">
        <v>2020</v>
      </c>
      <c r="R114" s="1">
        <v>9</v>
      </c>
      <c r="S114" s="1" t="s">
        <v>56</v>
      </c>
    </row>
    <row r="115" spans="1:19" x14ac:dyDescent="0.35">
      <c r="A115" s="1" t="s">
        <v>377</v>
      </c>
      <c r="B115" s="2">
        <v>45381</v>
      </c>
      <c r="C115" s="1" t="s">
        <v>378</v>
      </c>
      <c r="D115" s="1" t="s">
        <v>123</v>
      </c>
      <c r="E115" s="1" t="s">
        <v>22</v>
      </c>
      <c r="F115" s="1" t="s">
        <v>23</v>
      </c>
      <c r="G115" s="1">
        <v>1</v>
      </c>
      <c r="H115" s="1">
        <v>56690</v>
      </c>
      <c r="I115" s="1">
        <v>56690</v>
      </c>
      <c r="J115" s="1">
        <v>78</v>
      </c>
      <c r="K115" s="1">
        <v>56612</v>
      </c>
      <c r="L115" s="1">
        <v>56612</v>
      </c>
      <c r="M115" s="1" t="s">
        <v>47</v>
      </c>
      <c r="N115" s="1" t="s">
        <v>61</v>
      </c>
      <c r="O115" s="1" t="s">
        <v>88</v>
      </c>
      <c r="P115" s="1" t="s">
        <v>27</v>
      </c>
      <c r="Q115" s="1">
        <v>2024</v>
      </c>
      <c r="R115" s="1">
        <v>3</v>
      </c>
      <c r="S115" s="1" t="s">
        <v>68</v>
      </c>
    </row>
    <row r="116" spans="1:19" x14ac:dyDescent="0.35">
      <c r="A116" s="1" t="s">
        <v>379</v>
      </c>
      <c r="B116" s="2">
        <v>44328</v>
      </c>
      <c r="C116" s="1" t="s">
        <v>380</v>
      </c>
      <c r="D116" s="1" t="s">
        <v>381</v>
      </c>
      <c r="E116" s="1" t="s">
        <v>53</v>
      </c>
      <c r="F116" s="1" t="s">
        <v>33</v>
      </c>
      <c r="G116" s="1">
        <v>8</v>
      </c>
      <c r="H116" s="1">
        <v>49798</v>
      </c>
      <c r="I116" s="1">
        <v>398384</v>
      </c>
      <c r="J116" s="1">
        <v>53339</v>
      </c>
      <c r="K116" s="1">
        <v>345045</v>
      </c>
      <c r="L116" s="1">
        <v>345045</v>
      </c>
      <c r="M116" s="1" t="s">
        <v>47</v>
      </c>
      <c r="N116" s="1" t="s">
        <v>48</v>
      </c>
      <c r="O116" s="1" t="s">
        <v>49</v>
      </c>
      <c r="P116" s="1" t="s">
        <v>27</v>
      </c>
      <c r="Q116" s="1">
        <v>2021</v>
      </c>
      <c r="R116" s="1">
        <v>5</v>
      </c>
      <c r="S116" s="1" t="s">
        <v>35</v>
      </c>
    </row>
    <row r="117" spans="1:19" x14ac:dyDescent="0.35">
      <c r="A117" s="1" t="s">
        <v>382</v>
      </c>
      <c r="B117" s="2">
        <v>43502</v>
      </c>
      <c r="C117" s="1" t="s">
        <v>383</v>
      </c>
      <c r="D117" s="1" t="s">
        <v>114</v>
      </c>
      <c r="E117" s="1" t="s">
        <v>79</v>
      </c>
      <c r="F117" s="1" t="s">
        <v>23</v>
      </c>
      <c r="G117" s="1">
        <v>27</v>
      </c>
      <c r="H117" s="1">
        <v>39902</v>
      </c>
      <c r="I117" s="1">
        <v>1077354</v>
      </c>
      <c r="J117" s="1">
        <v>142419</v>
      </c>
      <c r="K117" s="1">
        <v>934935</v>
      </c>
      <c r="L117" s="1">
        <v>934935</v>
      </c>
      <c r="M117" s="1" t="s">
        <v>34</v>
      </c>
      <c r="N117" s="1" t="s">
        <v>101</v>
      </c>
      <c r="O117" s="1" t="s">
        <v>108</v>
      </c>
      <c r="P117" s="1" t="s">
        <v>27</v>
      </c>
      <c r="Q117" s="1">
        <v>2019</v>
      </c>
      <c r="R117" s="1">
        <v>2</v>
      </c>
      <c r="S117" s="1" t="s">
        <v>68</v>
      </c>
    </row>
    <row r="118" spans="1:19" x14ac:dyDescent="0.35">
      <c r="A118" s="1" t="s">
        <v>384</v>
      </c>
      <c r="B118" s="2">
        <v>45574</v>
      </c>
      <c r="C118" s="1" t="s">
        <v>385</v>
      </c>
      <c r="D118" s="1" t="s">
        <v>386</v>
      </c>
      <c r="E118" s="1" t="s">
        <v>32</v>
      </c>
      <c r="F118" s="1" t="s">
        <v>33</v>
      </c>
      <c r="G118" s="1">
        <v>14</v>
      </c>
      <c r="H118" s="1">
        <v>6433</v>
      </c>
      <c r="I118" s="1">
        <v>90062</v>
      </c>
      <c r="J118" s="1">
        <v>580</v>
      </c>
      <c r="K118" s="1">
        <v>89482</v>
      </c>
      <c r="L118" s="1">
        <v>89482</v>
      </c>
      <c r="M118" s="1" t="s">
        <v>24</v>
      </c>
      <c r="N118" s="1" t="s">
        <v>40</v>
      </c>
      <c r="O118" s="1" t="s">
        <v>125</v>
      </c>
      <c r="P118" s="1" t="s">
        <v>27</v>
      </c>
      <c r="Q118" s="1">
        <v>2024</v>
      </c>
      <c r="R118" s="1">
        <v>10</v>
      </c>
      <c r="S118" s="1" t="s">
        <v>28</v>
      </c>
    </row>
    <row r="119" spans="1:19" x14ac:dyDescent="0.35">
      <c r="A119" s="1" t="s">
        <v>387</v>
      </c>
      <c r="B119" s="2">
        <v>45287</v>
      </c>
      <c r="C119" s="1" t="s">
        <v>388</v>
      </c>
      <c r="D119" s="1" t="s">
        <v>319</v>
      </c>
      <c r="E119" s="1" t="s">
        <v>60</v>
      </c>
      <c r="F119" s="1" t="s">
        <v>46</v>
      </c>
      <c r="G119" s="1">
        <v>15</v>
      </c>
      <c r="H119" s="1">
        <v>51753</v>
      </c>
      <c r="I119" s="1">
        <v>776295</v>
      </c>
      <c r="J119" s="1">
        <v>126355</v>
      </c>
      <c r="K119" s="1">
        <v>649940</v>
      </c>
      <c r="L119" s="1">
        <v>649940</v>
      </c>
      <c r="M119" s="1" t="s">
        <v>84</v>
      </c>
      <c r="N119" s="1" t="s">
        <v>48</v>
      </c>
      <c r="O119" s="1" t="s">
        <v>49</v>
      </c>
      <c r="P119" s="1" t="s">
        <v>27</v>
      </c>
      <c r="Q119" s="1">
        <v>2023</v>
      </c>
      <c r="R119" s="1">
        <v>12</v>
      </c>
      <c r="S119" s="1" t="s">
        <v>28</v>
      </c>
    </row>
    <row r="120" spans="1:19" x14ac:dyDescent="0.35">
      <c r="A120" s="1" t="s">
        <v>389</v>
      </c>
      <c r="B120" s="2">
        <v>44970</v>
      </c>
      <c r="C120" s="1" t="s">
        <v>227</v>
      </c>
      <c r="D120" s="1" t="s">
        <v>390</v>
      </c>
      <c r="E120" s="1" t="s">
        <v>79</v>
      </c>
      <c r="F120" s="1" t="s">
        <v>23</v>
      </c>
      <c r="G120" s="1">
        <v>24</v>
      </c>
      <c r="H120" s="1">
        <v>38092</v>
      </c>
      <c r="I120" s="1">
        <v>914208</v>
      </c>
      <c r="J120" s="1">
        <v>71470</v>
      </c>
      <c r="K120" s="1">
        <v>842738</v>
      </c>
      <c r="L120" s="1">
        <v>842738</v>
      </c>
      <c r="M120" s="1" t="s">
        <v>84</v>
      </c>
      <c r="N120" s="1" t="s">
        <v>61</v>
      </c>
      <c r="O120" s="1" t="s">
        <v>62</v>
      </c>
      <c r="P120" s="1" t="s">
        <v>27</v>
      </c>
      <c r="Q120" s="1">
        <v>2023</v>
      </c>
      <c r="R120" s="1">
        <v>2</v>
      </c>
      <c r="S120" s="1" t="s">
        <v>68</v>
      </c>
    </row>
    <row r="121" spans="1:19" x14ac:dyDescent="0.35">
      <c r="A121" s="1" t="s">
        <v>391</v>
      </c>
      <c r="B121" s="2">
        <v>43713</v>
      </c>
      <c r="C121" s="1" t="s">
        <v>392</v>
      </c>
      <c r="D121" s="1" t="s">
        <v>393</v>
      </c>
      <c r="E121" s="1" t="s">
        <v>45</v>
      </c>
      <c r="F121" s="1" t="s">
        <v>46</v>
      </c>
      <c r="G121" s="1">
        <v>22</v>
      </c>
      <c r="H121" s="1">
        <v>19678</v>
      </c>
      <c r="I121" s="1">
        <v>432916</v>
      </c>
      <c r="J121" s="1">
        <v>65543</v>
      </c>
      <c r="K121" s="1">
        <v>367373</v>
      </c>
      <c r="L121" s="1">
        <v>367373</v>
      </c>
      <c r="M121" s="1" t="s">
        <v>24</v>
      </c>
      <c r="N121" s="1" t="s">
        <v>101</v>
      </c>
      <c r="O121" s="1" t="s">
        <v>102</v>
      </c>
      <c r="P121" s="1" t="s">
        <v>27</v>
      </c>
      <c r="Q121" s="1">
        <v>2019</v>
      </c>
      <c r="R121" s="1">
        <v>9</v>
      </c>
      <c r="S121" s="1" t="s">
        <v>56</v>
      </c>
    </row>
    <row r="122" spans="1:19" x14ac:dyDescent="0.35">
      <c r="A122" s="1" t="s">
        <v>394</v>
      </c>
      <c r="B122" s="2">
        <v>44807</v>
      </c>
      <c r="C122" s="1" t="s">
        <v>113</v>
      </c>
      <c r="D122" s="1" t="s">
        <v>395</v>
      </c>
      <c r="E122" s="1" t="s">
        <v>45</v>
      </c>
      <c r="F122" s="1" t="s">
        <v>46</v>
      </c>
      <c r="G122" s="1">
        <v>4</v>
      </c>
      <c r="H122" s="1">
        <v>42965</v>
      </c>
      <c r="I122" s="1">
        <v>171860</v>
      </c>
      <c r="J122" s="1">
        <v>10754</v>
      </c>
      <c r="K122" s="1">
        <v>161106</v>
      </c>
      <c r="L122" s="1">
        <v>161106</v>
      </c>
      <c r="M122" s="1" t="s">
        <v>66</v>
      </c>
      <c r="N122" s="1" t="s">
        <v>54</v>
      </c>
      <c r="O122" s="1" t="s">
        <v>67</v>
      </c>
      <c r="P122" s="1" t="s">
        <v>27</v>
      </c>
      <c r="Q122" s="1">
        <v>2022</v>
      </c>
      <c r="R122" s="1">
        <v>9</v>
      </c>
      <c r="S122" s="1" t="s">
        <v>56</v>
      </c>
    </row>
    <row r="123" spans="1:19" x14ac:dyDescent="0.35">
      <c r="A123" s="1" t="s">
        <v>396</v>
      </c>
      <c r="B123" s="2">
        <v>44016</v>
      </c>
      <c r="C123" s="1" t="s">
        <v>397</v>
      </c>
      <c r="D123" s="1" t="s">
        <v>398</v>
      </c>
      <c r="E123" s="1" t="s">
        <v>106</v>
      </c>
      <c r="F123" s="1" t="s">
        <v>107</v>
      </c>
      <c r="G123" s="1">
        <v>15</v>
      </c>
      <c r="H123" s="1">
        <v>1614</v>
      </c>
      <c r="I123" s="1">
        <v>24210</v>
      </c>
      <c r="J123" s="1">
        <v>2904</v>
      </c>
      <c r="K123" s="1">
        <v>21306</v>
      </c>
      <c r="L123" s="1">
        <v>21306</v>
      </c>
      <c r="M123" s="1" t="s">
        <v>24</v>
      </c>
      <c r="N123" s="1" t="s">
        <v>101</v>
      </c>
      <c r="O123" s="1" t="s">
        <v>102</v>
      </c>
      <c r="P123" s="1" t="s">
        <v>27</v>
      </c>
      <c r="Q123" s="1">
        <v>2020</v>
      </c>
      <c r="R123" s="1">
        <v>7</v>
      </c>
      <c r="S123" s="1" t="s">
        <v>56</v>
      </c>
    </row>
    <row r="124" spans="1:19" x14ac:dyDescent="0.35">
      <c r="A124" s="1" t="s">
        <v>399</v>
      </c>
      <c r="B124" s="2">
        <v>43848</v>
      </c>
      <c r="C124" s="1" t="s">
        <v>307</v>
      </c>
      <c r="D124" s="1" t="s">
        <v>400</v>
      </c>
      <c r="E124" s="1" t="s">
        <v>106</v>
      </c>
      <c r="F124" s="1" t="s">
        <v>107</v>
      </c>
      <c r="G124" s="1">
        <v>25</v>
      </c>
      <c r="H124" s="1">
        <v>25611</v>
      </c>
      <c r="I124" s="1">
        <v>640275</v>
      </c>
      <c r="J124" s="1">
        <v>77213</v>
      </c>
      <c r="K124" s="1">
        <v>563062</v>
      </c>
      <c r="L124" s="1">
        <v>563062</v>
      </c>
      <c r="M124" s="1" t="s">
        <v>84</v>
      </c>
      <c r="N124" s="1" t="s">
        <v>40</v>
      </c>
      <c r="O124" s="1" t="s">
        <v>41</v>
      </c>
      <c r="P124" s="1" t="s">
        <v>27</v>
      </c>
      <c r="Q124" s="1">
        <v>2020</v>
      </c>
      <c r="R124" s="1">
        <v>1</v>
      </c>
      <c r="S124" s="1" t="s">
        <v>68</v>
      </c>
    </row>
    <row r="125" spans="1:19" x14ac:dyDescent="0.35">
      <c r="A125" s="1" t="s">
        <v>401</v>
      </c>
      <c r="B125" s="2">
        <v>44916</v>
      </c>
      <c r="C125" s="1" t="s">
        <v>402</v>
      </c>
      <c r="D125" s="1" t="s">
        <v>403</v>
      </c>
      <c r="E125" s="1" t="s">
        <v>106</v>
      </c>
      <c r="F125" s="1" t="s">
        <v>107</v>
      </c>
      <c r="G125" s="1">
        <v>23</v>
      </c>
      <c r="H125" s="1">
        <v>17179</v>
      </c>
      <c r="I125" s="1">
        <v>395117</v>
      </c>
      <c r="J125" s="1">
        <v>12233</v>
      </c>
      <c r="K125" s="1">
        <v>382884</v>
      </c>
      <c r="L125" s="1">
        <v>382884</v>
      </c>
      <c r="M125" s="1" t="s">
        <v>34</v>
      </c>
      <c r="N125" s="1" t="s">
        <v>61</v>
      </c>
      <c r="O125" s="1" t="s">
        <v>62</v>
      </c>
      <c r="P125" s="1" t="s">
        <v>27</v>
      </c>
      <c r="Q125" s="1">
        <v>2022</v>
      </c>
      <c r="R125" s="1">
        <v>12</v>
      </c>
      <c r="S125" s="1" t="s">
        <v>28</v>
      </c>
    </row>
    <row r="126" spans="1:19" x14ac:dyDescent="0.35">
      <c r="A126" s="1" t="s">
        <v>404</v>
      </c>
      <c r="B126" s="2">
        <v>44319</v>
      </c>
      <c r="C126" s="1" t="s">
        <v>405</v>
      </c>
      <c r="D126" s="1" t="s">
        <v>406</v>
      </c>
      <c r="E126" s="1" t="s">
        <v>60</v>
      </c>
      <c r="F126" s="1" t="s">
        <v>46</v>
      </c>
      <c r="G126" s="1">
        <v>19</v>
      </c>
      <c r="H126" s="1">
        <v>58087</v>
      </c>
      <c r="I126" s="1">
        <v>1103653</v>
      </c>
      <c r="J126" s="1">
        <v>178316</v>
      </c>
      <c r="K126" s="1">
        <v>925337</v>
      </c>
      <c r="L126" s="1">
        <v>925337</v>
      </c>
      <c r="M126" s="1" t="s">
        <v>66</v>
      </c>
      <c r="N126" s="1" t="s">
        <v>40</v>
      </c>
      <c r="O126" s="1" t="s">
        <v>125</v>
      </c>
      <c r="P126" s="1" t="s">
        <v>27</v>
      </c>
      <c r="Q126" s="1">
        <v>2021</v>
      </c>
      <c r="R126" s="1">
        <v>5</v>
      </c>
      <c r="S126" s="1" t="s">
        <v>35</v>
      </c>
    </row>
    <row r="127" spans="1:19" x14ac:dyDescent="0.35">
      <c r="A127" s="1" t="s">
        <v>407</v>
      </c>
      <c r="B127" s="2">
        <v>45585</v>
      </c>
      <c r="C127" s="1" t="s">
        <v>218</v>
      </c>
      <c r="D127" s="1" t="s">
        <v>408</v>
      </c>
      <c r="E127" s="1" t="s">
        <v>22</v>
      </c>
      <c r="F127" s="1" t="s">
        <v>23</v>
      </c>
      <c r="G127" s="1">
        <v>27</v>
      </c>
      <c r="H127" s="1">
        <v>10181</v>
      </c>
      <c r="I127" s="1">
        <v>274887</v>
      </c>
      <c r="J127" s="1">
        <v>659</v>
      </c>
      <c r="K127" s="1">
        <v>274228</v>
      </c>
      <c r="L127" s="1">
        <v>274228</v>
      </c>
      <c r="M127" s="1" t="s">
        <v>34</v>
      </c>
      <c r="N127" s="1" t="s">
        <v>48</v>
      </c>
      <c r="O127" s="1" t="s">
        <v>49</v>
      </c>
      <c r="P127" s="1" t="s">
        <v>27</v>
      </c>
      <c r="Q127" s="1">
        <v>2024</v>
      </c>
      <c r="R127" s="1">
        <v>10</v>
      </c>
      <c r="S127" s="1" t="s">
        <v>28</v>
      </c>
    </row>
    <row r="128" spans="1:19" x14ac:dyDescent="0.35">
      <c r="A128" s="1" t="s">
        <v>409</v>
      </c>
      <c r="B128" s="2">
        <v>45013</v>
      </c>
      <c r="C128" s="1" t="s">
        <v>266</v>
      </c>
      <c r="D128" s="1" t="s">
        <v>410</v>
      </c>
      <c r="E128" s="1" t="s">
        <v>124</v>
      </c>
      <c r="F128" s="1" t="s">
        <v>107</v>
      </c>
      <c r="G128" s="1">
        <v>6</v>
      </c>
      <c r="H128" s="1">
        <v>7518</v>
      </c>
      <c r="I128" s="1">
        <v>45108</v>
      </c>
      <c r="J128" s="1">
        <v>4438</v>
      </c>
      <c r="K128" s="1">
        <v>40670</v>
      </c>
      <c r="L128" s="1">
        <v>40670</v>
      </c>
      <c r="M128" s="1" t="s">
        <v>84</v>
      </c>
      <c r="N128" s="1" t="s">
        <v>40</v>
      </c>
      <c r="O128" s="1" t="s">
        <v>125</v>
      </c>
      <c r="P128" s="1" t="s">
        <v>27</v>
      </c>
      <c r="Q128" s="1">
        <v>2023</v>
      </c>
      <c r="R128" s="1">
        <v>3</v>
      </c>
      <c r="S128" s="1" t="s">
        <v>68</v>
      </c>
    </row>
    <row r="129" spans="1:19" x14ac:dyDescent="0.35">
      <c r="A129" s="1" t="s">
        <v>411</v>
      </c>
      <c r="B129" s="2">
        <v>44283</v>
      </c>
      <c r="C129" s="1" t="s">
        <v>412</v>
      </c>
      <c r="D129" s="1" t="s">
        <v>413</v>
      </c>
      <c r="E129" s="1" t="s">
        <v>45</v>
      </c>
      <c r="F129" s="1" t="s">
        <v>46</v>
      </c>
      <c r="G129" s="1">
        <v>5</v>
      </c>
      <c r="H129" s="1">
        <v>34888</v>
      </c>
      <c r="I129" s="1">
        <v>174440</v>
      </c>
      <c r="J129" s="1">
        <v>33370</v>
      </c>
      <c r="K129" s="1">
        <v>141070</v>
      </c>
      <c r="L129" s="1">
        <v>141070</v>
      </c>
      <c r="M129" s="1" t="s">
        <v>66</v>
      </c>
      <c r="N129" s="1" t="s">
        <v>40</v>
      </c>
      <c r="O129" s="1" t="s">
        <v>125</v>
      </c>
      <c r="P129" s="1" t="s">
        <v>27</v>
      </c>
      <c r="Q129" s="1">
        <v>2021</v>
      </c>
      <c r="R129" s="1">
        <v>3</v>
      </c>
      <c r="S129" s="1" t="s">
        <v>68</v>
      </c>
    </row>
    <row r="130" spans="1:19" x14ac:dyDescent="0.35">
      <c r="A130" s="1" t="s">
        <v>414</v>
      </c>
      <c r="B130" s="2">
        <v>44828</v>
      </c>
      <c r="C130" s="1" t="s">
        <v>415</v>
      </c>
      <c r="D130" s="1" t="s">
        <v>416</v>
      </c>
      <c r="E130" s="1" t="s">
        <v>106</v>
      </c>
      <c r="F130" s="1" t="s">
        <v>107</v>
      </c>
      <c r="G130" s="1">
        <v>12</v>
      </c>
      <c r="H130" s="1">
        <v>7826</v>
      </c>
      <c r="I130" s="1">
        <v>93912</v>
      </c>
      <c r="J130" s="1">
        <v>17848</v>
      </c>
      <c r="K130" s="1">
        <v>76064</v>
      </c>
      <c r="L130" s="1">
        <v>76064</v>
      </c>
      <c r="M130" s="1" t="s">
        <v>84</v>
      </c>
      <c r="N130" s="1" t="s">
        <v>25</v>
      </c>
      <c r="O130" s="1" t="s">
        <v>26</v>
      </c>
      <c r="P130" s="1" t="s">
        <v>27</v>
      </c>
      <c r="Q130" s="1">
        <v>2022</v>
      </c>
      <c r="R130" s="1">
        <v>9</v>
      </c>
      <c r="S130" s="1" t="s">
        <v>56</v>
      </c>
    </row>
    <row r="131" spans="1:19" x14ac:dyDescent="0.35">
      <c r="A131" s="1" t="s">
        <v>417</v>
      </c>
      <c r="B131" s="2">
        <v>45292</v>
      </c>
      <c r="C131" s="1" t="s">
        <v>418</v>
      </c>
      <c r="D131" s="1" t="s">
        <v>419</v>
      </c>
      <c r="E131" s="1" t="s">
        <v>79</v>
      </c>
      <c r="F131" s="1" t="s">
        <v>23</v>
      </c>
      <c r="G131" s="1">
        <v>3</v>
      </c>
      <c r="H131" s="1">
        <v>39885</v>
      </c>
      <c r="I131" s="1">
        <v>119655</v>
      </c>
      <c r="J131" s="1">
        <v>10767</v>
      </c>
      <c r="K131" s="1">
        <v>108888</v>
      </c>
      <c r="L131" s="1">
        <v>108888</v>
      </c>
      <c r="M131" s="1" t="s">
        <v>84</v>
      </c>
      <c r="N131" s="1" t="s">
        <v>61</v>
      </c>
      <c r="O131" s="1" t="s">
        <v>62</v>
      </c>
      <c r="P131" s="1" t="s">
        <v>27</v>
      </c>
      <c r="Q131" s="1">
        <v>2024</v>
      </c>
      <c r="R131" s="1">
        <v>1</v>
      </c>
      <c r="S131" s="1" t="s">
        <v>68</v>
      </c>
    </row>
    <row r="132" spans="1:19" x14ac:dyDescent="0.35">
      <c r="A132" s="1" t="s">
        <v>420</v>
      </c>
      <c r="B132" s="2">
        <v>43860</v>
      </c>
      <c r="C132" s="1" t="s">
        <v>421</v>
      </c>
      <c r="D132" s="1" t="s">
        <v>422</v>
      </c>
      <c r="E132" s="1" t="s">
        <v>53</v>
      </c>
      <c r="F132" s="1" t="s">
        <v>33</v>
      </c>
      <c r="G132" s="1">
        <v>8</v>
      </c>
      <c r="H132" s="1">
        <v>30706</v>
      </c>
      <c r="I132" s="1">
        <v>245648</v>
      </c>
      <c r="J132" s="1">
        <v>12043</v>
      </c>
      <c r="K132" s="1">
        <v>233605</v>
      </c>
      <c r="L132" s="1">
        <v>233605</v>
      </c>
      <c r="M132" s="1" t="s">
        <v>66</v>
      </c>
      <c r="N132" s="1" t="s">
        <v>48</v>
      </c>
      <c r="O132" s="1" t="s">
        <v>49</v>
      </c>
      <c r="P132" s="1" t="s">
        <v>27</v>
      </c>
      <c r="Q132" s="1">
        <v>2020</v>
      </c>
      <c r="R132" s="1">
        <v>1</v>
      </c>
      <c r="S132" s="1" t="s">
        <v>68</v>
      </c>
    </row>
    <row r="133" spans="1:19" x14ac:dyDescent="0.35">
      <c r="A133" s="1" t="s">
        <v>423</v>
      </c>
      <c r="B133" s="2">
        <v>43875</v>
      </c>
      <c r="C133" s="1" t="s">
        <v>424</v>
      </c>
      <c r="D133" s="1" t="s">
        <v>425</v>
      </c>
      <c r="E133" s="1" t="s">
        <v>53</v>
      </c>
      <c r="F133" s="1" t="s">
        <v>33</v>
      </c>
      <c r="G133" s="1">
        <v>16</v>
      </c>
      <c r="H133" s="1">
        <v>49032</v>
      </c>
      <c r="I133" s="1">
        <v>784512</v>
      </c>
      <c r="J133" s="1">
        <v>94318</v>
      </c>
      <c r="K133" s="1">
        <v>690194</v>
      </c>
      <c r="L133" s="1">
        <v>690194</v>
      </c>
      <c r="M133" s="1" t="s">
        <v>66</v>
      </c>
      <c r="N133" s="1" t="s">
        <v>40</v>
      </c>
      <c r="O133" s="1" t="s">
        <v>125</v>
      </c>
      <c r="P133" s="1" t="s">
        <v>27</v>
      </c>
      <c r="Q133" s="1">
        <v>2020</v>
      </c>
      <c r="R133" s="1">
        <v>2</v>
      </c>
      <c r="S133" s="1" t="s">
        <v>68</v>
      </c>
    </row>
    <row r="134" spans="1:19" x14ac:dyDescent="0.35">
      <c r="A134" s="1" t="s">
        <v>426</v>
      </c>
      <c r="B134" s="2">
        <v>44306</v>
      </c>
      <c r="C134" s="1" t="s">
        <v>427</v>
      </c>
      <c r="D134" s="1" t="s">
        <v>428</v>
      </c>
      <c r="E134" s="1" t="s">
        <v>79</v>
      </c>
      <c r="F134" s="1" t="s">
        <v>23</v>
      </c>
      <c r="G134" s="1">
        <v>13</v>
      </c>
      <c r="H134" s="1">
        <v>40448</v>
      </c>
      <c r="I134" s="1">
        <v>525824</v>
      </c>
      <c r="J134" s="1">
        <v>100241</v>
      </c>
      <c r="K134" s="1">
        <v>425583</v>
      </c>
      <c r="L134" s="1">
        <v>425583</v>
      </c>
      <c r="M134" s="1" t="s">
        <v>66</v>
      </c>
      <c r="N134" s="1" t="s">
        <v>54</v>
      </c>
      <c r="O134" s="1" t="s">
        <v>55</v>
      </c>
      <c r="P134" s="1" t="s">
        <v>27</v>
      </c>
      <c r="Q134" s="1">
        <v>2021</v>
      </c>
      <c r="R134" s="1">
        <v>4</v>
      </c>
      <c r="S134" s="1" t="s">
        <v>35</v>
      </c>
    </row>
    <row r="135" spans="1:19" x14ac:dyDescent="0.35">
      <c r="A135" s="1" t="s">
        <v>429</v>
      </c>
      <c r="B135" s="2">
        <v>44731</v>
      </c>
      <c r="C135" s="1" t="s">
        <v>340</v>
      </c>
      <c r="D135" s="1" t="s">
        <v>430</v>
      </c>
      <c r="E135" s="1" t="s">
        <v>124</v>
      </c>
      <c r="F135" s="1" t="s">
        <v>107</v>
      </c>
      <c r="G135" s="1">
        <v>21</v>
      </c>
      <c r="H135" s="1">
        <v>30841</v>
      </c>
      <c r="I135" s="1">
        <v>647661</v>
      </c>
      <c r="J135" s="1">
        <v>20701</v>
      </c>
      <c r="K135" s="1">
        <v>626960</v>
      </c>
      <c r="L135" s="1">
        <v>626960</v>
      </c>
      <c r="M135" s="1" t="s">
        <v>84</v>
      </c>
      <c r="N135" s="1" t="s">
        <v>101</v>
      </c>
      <c r="O135" s="1" t="s">
        <v>108</v>
      </c>
      <c r="P135" s="1" t="s">
        <v>27</v>
      </c>
      <c r="Q135" s="1">
        <v>2022</v>
      </c>
      <c r="R135" s="1">
        <v>6</v>
      </c>
      <c r="S135" s="1" t="s">
        <v>35</v>
      </c>
    </row>
    <row r="136" spans="1:19" x14ac:dyDescent="0.35">
      <c r="A136" s="1" t="s">
        <v>431</v>
      </c>
      <c r="B136" s="2">
        <v>45637</v>
      </c>
      <c r="C136" s="1" t="s">
        <v>432</v>
      </c>
      <c r="D136" s="1" t="s">
        <v>430</v>
      </c>
      <c r="E136" s="1" t="s">
        <v>32</v>
      </c>
      <c r="F136" s="1" t="s">
        <v>33</v>
      </c>
      <c r="G136" s="1">
        <v>14</v>
      </c>
      <c r="H136" s="1">
        <v>31095</v>
      </c>
      <c r="I136" s="1">
        <v>435330</v>
      </c>
      <c r="J136" s="1">
        <v>46040</v>
      </c>
      <c r="K136" s="1">
        <v>389290</v>
      </c>
      <c r="L136" s="1">
        <v>389290</v>
      </c>
      <c r="M136" s="1" t="s">
        <v>39</v>
      </c>
      <c r="N136" s="1" t="s">
        <v>25</v>
      </c>
      <c r="O136" s="1" t="s">
        <v>80</v>
      </c>
      <c r="P136" s="1" t="s">
        <v>27</v>
      </c>
      <c r="Q136" s="1">
        <v>2024</v>
      </c>
      <c r="R136" s="1">
        <v>12</v>
      </c>
      <c r="S136" s="1" t="s">
        <v>28</v>
      </c>
    </row>
    <row r="137" spans="1:19" x14ac:dyDescent="0.35">
      <c r="A137" s="1" t="s">
        <v>433</v>
      </c>
      <c r="B137" s="2">
        <v>45579</v>
      </c>
      <c r="C137" s="1" t="s">
        <v>434</v>
      </c>
      <c r="D137" s="1" t="s">
        <v>435</v>
      </c>
      <c r="E137" s="1" t="s">
        <v>124</v>
      </c>
      <c r="F137" s="1" t="s">
        <v>107</v>
      </c>
      <c r="G137" s="1">
        <v>22</v>
      </c>
      <c r="H137" s="1">
        <v>3202</v>
      </c>
      <c r="I137" s="1">
        <v>70444</v>
      </c>
      <c r="J137" s="1">
        <v>4851</v>
      </c>
      <c r="K137" s="1">
        <v>65593</v>
      </c>
      <c r="L137" s="1">
        <v>65593</v>
      </c>
      <c r="M137" s="1" t="s">
        <v>24</v>
      </c>
      <c r="N137" s="1" t="s">
        <v>101</v>
      </c>
      <c r="O137" s="1" t="s">
        <v>102</v>
      </c>
      <c r="P137" s="1" t="s">
        <v>27</v>
      </c>
      <c r="Q137" s="1">
        <v>2024</v>
      </c>
      <c r="R137" s="1">
        <v>10</v>
      </c>
      <c r="S137" s="1" t="s">
        <v>28</v>
      </c>
    </row>
    <row r="138" spans="1:19" x14ac:dyDescent="0.35">
      <c r="A138" s="1" t="s">
        <v>436</v>
      </c>
      <c r="B138" s="2">
        <v>45464</v>
      </c>
      <c r="C138" s="1" t="s">
        <v>437</v>
      </c>
      <c r="D138" s="1" t="s">
        <v>438</v>
      </c>
      <c r="E138" s="1" t="s">
        <v>60</v>
      </c>
      <c r="F138" s="1" t="s">
        <v>46</v>
      </c>
      <c r="G138" s="1">
        <v>20</v>
      </c>
      <c r="H138" s="1">
        <v>21346</v>
      </c>
      <c r="I138" s="1">
        <v>426920</v>
      </c>
      <c r="J138" s="1">
        <v>9128</v>
      </c>
      <c r="K138" s="1">
        <v>417792</v>
      </c>
      <c r="L138" s="1">
        <v>417792</v>
      </c>
      <c r="M138" s="1" t="s">
        <v>47</v>
      </c>
      <c r="N138" s="1" t="s">
        <v>101</v>
      </c>
      <c r="O138" s="1" t="s">
        <v>102</v>
      </c>
      <c r="P138" s="1" t="s">
        <v>27</v>
      </c>
      <c r="Q138" s="1">
        <v>2024</v>
      </c>
      <c r="R138" s="1">
        <v>6</v>
      </c>
      <c r="S138" s="1" t="s">
        <v>35</v>
      </c>
    </row>
    <row r="139" spans="1:19" x14ac:dyDescent="0.35">
      <c r="A139" s="1" t="s">
        <v>439</v>
      </c>
      <c r="B139" s="2">
        <v>43936</v>
      </c>
      <c r="C139" s="1" t="s">
        <v>440</v>
      </c>
      <c r="D139" s="1" t="s">
        <v>441</v>
      </c>
      <c r="E139" s="1" t="s">
        <v>106</v>
      </c>
      <c r="F139" s="1" t="s">
        <v>107</v>
      </c>
      <c r="G139" s="1">
        <v>25</v>
      </c>
      <c r="H139" s="1">
        <v>26918</v>
      </c>
      <c r="I139" s="1">
        <v>672950</v>
      </c>
      <c r="J139" s="1">
        <v>81267</v>
      </c>
      <c r="K139" s="1">
        <v>591683</v>
      </c>
      <c r="L139" s="1">
        <v>591683</v>
      </c>
      <c r="M139" s="1" t="s">
        <v>39</v>
      </c>
      <c r="N139" s="1" t="s">
        <v>54</v>
      </c>
      <c r="O139" s="1" t="s">
        <v>67</v>
      </c>
      <c r="P139" s="1" t="s">
        <v>27</v>
      </c>
      <c r="Q139" s="1">
        <v>2020</v>
      </c>
      <c r="R139" s="1">
        <v>4</v>
      </c>
      <c r="S139" s="1" t="s">
        <v>35</v>
      </c>
    </row>
    <row r="140" spans="1:19" x14ac:dyDescent="0.35">
      <c r="A140" s="1" t="s">
        <v>442</v>
      </c>
      <c r="B140" s="2">
        <v>44912</v>
      </c>
      <c r="C140" s="1" t="s">
        <v>443</v>
      </c>
      <c r="D140" s="1" t="s">
        <v>444</v>
      </c>
      <c r="E140" s="1" t="s">
        <v>79</v>
      </c>
      <c r="F140" s="1" t="s">
        <v>23</v>
      </c>
      <c r="G140" s="1">
        <v>29</v>
      </c>
      <c r="H140" s="1">
        <v>40845</v>
      </c>
      <c r="I140" s="1">
        <v>1184505</v>
      </c>
      <c r="J140" s="1">
        <v>141770</v>
      </c>
      <c r="K140" s="1">
        <v>1042735</v>
      </c>
      <c r="L140" s="1">
        <v>1042735</v>
      </c>
      <c r="M140" s="1" t="s">
        <v>24</v>
      </c>
      <c r="N140" s="1" t="s">
        <v>25</v>
      </c>
      <c r="O140" s="1" t="s">
        <v>26</v>
      </c>
      <c r="P140" s="1" t="s">
        <v>27</v>
      </c>
      <c r="Q140" s="1">
        <v>2022</v>
      </c>
      <c r="R140" s="1">
        <v>12</v>
      </c>
      <c r="S140" s="1" t="s">
        <v>28</v>
      </c>
    </row>
    <row r="141" spans="1:19" x14ac:dyDescent="0.35">
      <c r="A141" s="1" t="s">
        <v>445</v>
      </c>
      <c r="B141" s="2">
        <v>45242</v>
      </c>
      <c r="C141" s="1" t="s">
        <v>446</v>
      </c>
      <c r="D141" s="1" t="s">
        <v>447</v>
      </c>
      <c r="E141" s="1" t="s">
        <v>32</v>
      </c>
      <c r="F141" s="1" t="s">
        <v>33</v>
      </c>
      <c r="G141" s="1">
        <v>18</v>
      </c>
      <c r="H141" s="1">
        <v>37504</v>
      </c>
      <c r="I141" s="1">
        <v>675072</v>
      </c>
      <c r="J141" s="1">
        <v>94478</v>
      </c>
      <c r="K141" s="1">
        <v>580594</v>
      </c>
      <c r="L141" s="1">
        <v>580594</v>
      </c>
      <c r="M141" s="1" t="s">
        <v>66</v>
      </c>
      <c r="N141" s="1" t="s">
        <v>54</v>
      </c>
      <c r="O141" s="1" t="s">
        <v>67</v>
      </c>
      <c r="P141" s="1" t="s">
        <v>27</v>
      </c>
      <c r="Q141" s="1">
        <v>2023</v>
      </c>
      <c r="R141" s="1">
        <v>11</v>
      </c>
      <c r="S141" s="1" t="s">
        <v>28</v>
      </c>
    </row>
    <row r="142" spans="1:19" x14ac:dyDescent="0.35">
      <c r="A142" s="1" t="s">
        <v>448</v>
      </c>
      <c r="B142" s="2">
        <v>45251</v>
      </c>
      <c r="C142" s="1" t="s">
        <v>449</v>
      </c>
      <c r="D142" s="1" t="s">
        <v>450</v>
      </c>
      <c r="E142" s="1" t="s">
        <v>53</v>
      </c>
      <c r="F142" s="1" t="s">
        <v>33</v>
      </c>
      <c r="G142" s="1">
        <v>20</v>
      </c>
      <c r="H142" s="1">
        <v>2286</v>
      </c>
      <c r="I142" s="1">
        <v>45720</v>
      </c>
      <c r="J142" s="1">
        <v>7810</v>
      </c>
      <c r="K142" s="1">
        <v>37910</v>
      </c>
      <c r="L142" s="1">
        <v>37910</v>
      </c>
      <c r="M142" s="1" t="s">
        <v>34</v>
      </c>
      <c r="N142" s="1" t="s">
        <v>40</v>
      </c>
      <c r="O142" s="1" t="s">
        <v>75</v>
      </c>
      <c r="P142" s="1" t="s">
        <v>27</v>
      </c>
      <c r="Q142" s="1">
        <v>2023</v>
      </c>
      <c r="R142" s="1">
        <v>11</v>
      </c>
      <c r="S142" s="1" t="s">
        <v>28</v>
      </c>
    </row>
    <row r="143" spans="1:19" x14ac:dyDescent="0.35">
      <c r="A143" s="1" t="s">
        <v>451</v>
      </c>
      <c r="B143" s="2">
        <v>44457</v>
      </c>
      <c r="C143" s="1" t="s">
        <v>443</v>
      </c>
      <c r="D143" s="1" t="s">
        <v>452</v>
      </c>
      <c r="E143" s="1" t="s">
        <v>124</v>
      </c>
      <c r="F143" s="1" t="s">
        <v>107</v>
      </c>
      <c r="G143" s="1">
        <v>19</v>
      </c>
      <c r="H143" s="1">
        <v>53042</v>
      </c>
      <c r="I143" s="1">
        <v>1007798</v>
      </c>
      <c r="J143" s="1">
        <v>58961</v>
      </c>
      <c r="K143" s="1">
        <v>948837</v>
      </c>
      <c r="L143" s="1">
        <v>948837</v>
      </c>
      <c r="M143" s="1" t="s">
        <v>66</v>
      </c>
      <c r="N143" s="1" t="s">
        <v>101</v>
      </c>
      <c r="O143" s="1" t="s">
        <v>108</v>
      </c>
      <c r="P143" s="1" t="s">
        <v>27</v>
      </c>
      <c r="Q143" s="1">
        <v>2021</v>
      </c>
      <c r="R143" s="1">
        <v>9</v>
      </c>
      <c r="S143" s="1" t="s">
        <v>56</v>
      </c>
    </row>
    <row r="144" spans="1:19" x14ac:dyDescent="0.35">
      <c r="A144" s="1" t="s">
        <v>453</v>
      </c>
      <c r="B144" s="2">
        <v>44524</v>
      </c>
      <c r="C144" s="1" t="s">
        <v>454</v>
      </c>
      <c r="D144" s="1" t="s">
        <v>455</v>
      </c>
      <c r="E144" s="1" t="s">
        <v>32</v>
      </c>
      <c r="F144" s="1" t="s">
        <v>33</v>
      </c>
      <c r="G144" s="1">
        <v>16</v>
      </c>
      <c r="H144" s="1">
        <v>45972</v>
      </c>
      <c r="I144" s="1">
        <v>735552</v>
      </c>
      <c r="J144" s="1">
        <v>85365</v>
      </c>
      <c r="K144" s="1">
        <v>650187</v>
      </c>
      <c r="L144" s="1">
        <v>650187</v>
      </c>
      <c r="M144" s="1" t="s">
        <v>47</v>
      </c>
      <c r="N144" s="1" t="s">
        <v>25</v>
      </c>
      <c r="O144" s="1" t="s">
        <v>26</v>
      </c>
      <c r="P144" s="1" t="s">
        <v>27</v>
      </c>
      <c r="Q144" s="1">
        <v>2021</v>
      </c>
      <c r="R144" s="1">
        <v>11</v>
      </c>
      <c r="S144" s="1" t="s">
        <v>28</v>
      </c>
    </row>
    <row r="145" spans="1:19" x14ac:dyDescent="0.35">
      <c r="A145" s="1" t="s">
        <v>456</v>
      </c>
      <c r="B145" s="2">
        <v>44616</v>
      </c>
      <c r="C145" s="1" t="s">
        <v>457</v>
      </c>
      <c r="D145" s="1" t="s">
        <v>398</v>
      </c>
      <c r="E145" s="1" t="s">
        <v>45</v>
      </c>
      <c r="F145" s="1" t="s">
        <v>46</v>
      </c>
      <c r="G145" s="1">
        <v>22</v>
      </c>
      <c r="H145" s="1">
        <v>3037</v>
      </c>
      <c r="I145" s="1">
        <v>66814</v>
      </c>
      <c r="J145" s="1">
        <v>2765</v>
      </c>
      <c r="K145" s="1">
        <v>64049</v>
      </c>
      <c r="L145" s="1">
        <v>64049</v>
      </c>
      <c r="M145" s="1" t="s">
        <v>47</v>
      </c>
      <c r="N145" s="1" t="s">
        <v>40</v>
      </c>
      <c r="O145" s="1" t="s">
        <v>125</v>
      </c>
      <c r="P145" s="1" t="s">
        <v>27</v>
      </c>
      <c r="Q145" s="1">
        <v>2022</v>
      </c>
      <c r="R145" s="1">
        <v>2</v>
      </c>
      <c r="S145" s="1" t="s">
        <v>68</v>
      </c>
    </row>
    <row r="146" spans="1:19" x14ac:dyDescent="0.35">
      <c r="A146" s="1" t="s">
        <v>458</v>
      </c>
      <c r="B146" s="2">
        <v>44665</v>
      </c>
      <c r="C146" s="1" t="s">
        <v>307</v>
      </c>
      <c r="D146" s="1" t="s">
        <v>459</v>
      </c>
      <c r="E146" s="1" t="s">
        <v>32</v>
      </c>
      <c r="F146" s="1" t="s">
        <v>33</v>
      </c>
      <c r="G146" s="1">
        <v>20</v>
      </c>
      <c r="H146" s="1">
        <v>39092</v>
      </c>
      <c r="I146" s="1">
        <v>781840</v>
      </c>
      <c r="J146" s="1">
        <v>8652</v>
      </c>
      <c r="K146" s="1">
        <v>773188</v>
      </c>
      <c r="L146" s="1">
        <v>773188</v>
      </c>
      <c r="M146" s="1" t="s">
        <v>47</v>
      </c>
      <c r="N146" s="1" t="s">
        <v>25</v>
      </c>
      <c r="O146" s="1" t="s">
        <v>26</v>
      </c>
      <c r="P146" s="1" t="s">
        <v>27</v>
      </c>
      <c r="Q146" s="1">
        <v>2022</v>
      </c>
      <c r="R146" s="1">
        <v>4</v>
      </c>
      <c r="S146" s="1" t="s">
        <v>35</v>
      </c>
    </row>
    <row r="147" spans="1:19" x14ac:dyDescent="0.35">
      <c r="A147" s="1" t="s">
        <v>460</v>
      </c>
      <c r="B147" s="2">
        <v>43839</v>
      </c>
      <c r="C147" s="1" t="s">
        <v>461</v>
      </c>
      <c r="D147" s="1" t="s">
        <v>462</v>
      </c>
      <c r="E147" s="1" t="s">
        <v>124</v>
      </c>
      <c r="F147" s="1" t="s">
        <v>107</v>
      </c>
      <c r="G147" s="1">
        <v>6</v>
      </c>
      <c r="H147" s="1">
        <v>16282</v>
      </c>
      <c r="I147" s="1">
        <v>97692</v>
      </c>
      <c r="J147" s="1">
        <v>2816</v>
      </c>
      <c r="K147" s="1">
        <v>94876</v>
      </c>
      <c r="L147" s="1">
        <v>94876</v>
      </c>
      <c r="M147" s="1" t="s">
        <v>24</v>
      </c>
      <c r="N147" s="1" t="s">
        <v>40</v>
      </c>
      <c r="O147" s="1" t="s">
        <v>125</v>
      </c>
      <c r="P147" s="1" t="s">
        <v>27</v>
      </c>
      <c r="Q147" s="1">
        <v>2020</v>
      </c>
      <c r="R147" s="1">
        <v>1</v>
      </c>
      <c r="S147" s="1" t="s">
        <v>68</v>
      </c>
    </row>
    <row r="148" spans="1:19" x14ac:dyDescent="0.35">
      <c r="A148" s="1" t="s">
        <v>463</v>
      </c>
      <c r="B148" s="2">
        <v>43947</v>
      </c>
      <c r="C148" s="1" t="s">
        <v>365</v>
      </c>
      <c r="D148" s="1" t="s">
        <v>464</v>
      </c>
      <c r="E148" s="1" t="s">
        <v>45</v>
      </c>
      <c r="F148" s="1" t="s">
        <v>46</v>
      </c>
      <c r="G148" s="1">
        <v>7</v>
      </c>
      <c r="H148" s="1">
        <v>17959</v>
      </c>
      <c r="I148" s="1">
        <v>125713</v>
      </c>
      <c r="J148" s="1">
        <v>23296</v>
      </c>
      <c r="K148" s="1">
        <v>102417</v>
      </c>
      <c r="L148" s="1">
        <v>102417</v>
      </c>
      <c r="M148" s="1" t="s">
        <v>84</v>
      </c>
      <c r="N148" s="1" t="s">
        <v>40</v>
      </c>
      <c r="O148" s="1" t="s">
        <v>125</v>
      </c>
      <c r="P148" s="1" t="s">
        <v>27</v>
      </c>
      <c r="Q148" s="1">
        <v>2020</v>
      </c>
      <c r="R148" s="1">
        <v>4</v>
      </c>
      <c r="S148" s="1" t="s">
        <v>35</v>
      </c>
    </row>
    <row r="149" spans="1:19" x14ac:dyDescent="0.35">
      <c r="A149" s="1" t="s">
        <v>465</v>
      </c>
      <c r="B149" s="2">
        <v>44146</v>
      </c>
      <c r="C149" s="1" t="s">
        <v>466</v>
      </c>
      <c r="D149" s="1" t="s">
        <v>181</v>
      </c>
      <c r="E149" s="1" t="s">
        <v>22</v>
      </c>
      <c r="F149" s="1" t="s">
        <v>23</v>
      </c>
      <c r="G149" s="1">
        <v>25</v>
      </c>
      <c r="H149" s="1">
        <v>21430</v>
      </c>
      <c r="I149" s="1">
        <v>535750</v>
      </c>
      <c r="J149" s="1">
        <v>16228</v>
      </c>
      <c r="K149" s="1">
        <v>519522</v>
      </c>
      <c r="L149" s="1">
        <v>519522</v>
      </c>
      <c r="M149" s="1" t="s">
        <v>47</v>
      </c>
      <c r="N149" s="1" t="s">
        <v>25</v>
      </c>
      <c r="O149" s="1" t="s">
        <v>26</v>
      </c>
      <c r="P149" s="1" t="s">
        <v>27</v>
      </c>
      <c r="Q149" s="1">
        <v>2020</v>
      </c>
      <c r="R149" s="1">
        <v>11</v>
      </c>
      <c r="S149" s="1" t="s">
        <v>28</v>
      </c>
    </row>
    <row r="150" spans="1:19" x14ac:dyDescent="0.35">
      <c r="A150" s="1" t="s">
        <v>467</v>
      </c>
      <c r="B150" s="2">
        <v>44819</v>
      </c>
      <c r="C150" s="1" t="s">
        <v>468</v>
      </c>
      <c r="D150" s="1" t="s">
        <v>469</v>
      </c>
      <c r="E150" s="1" t="s">
        <v>124</v>
      </c>
      <c r="F150" s="1" t="s">
        <v>107</v>
      </c>
      <c r="G150" s="1">
        <v>20</v>
      </c>
      <c r="H150" s="1">
        <v>23028</v>
      </c>
      <c r="I150" s="1">
        <v>460560</v>
      </c>
      <c r="J150" s="1">
        <v>38923</v>
      </c>
      <c r="K150" s="1">
        <v>421637</v>
      </c>
      <c r="L150" s="1">
        <v>421637</v>
      </c>
      <c r="M150" s="1" t="s">
        <v>84</v>
      </c>
      <c r="N150" s="1" t="s">
        <v>54</v>
      </c>
      <c r="O150" s="1" t="s">
        <v>67</v>
      </c>
      <c r="P150" s="1" t="s">
        <v>27</v>
      </c>
      <c r="Q150" s="1">
        <v>2022</v>
      </c>
      <c r="R150" s="1">
        <v>9</v>
      </c>
      <c r="S150" s="1" t="s">
        <v>56</v>
      </c>
    </row>
    <row r="151" spans="1:19" x14ac:dyDescent="0.35">
      <c r="A151" s="1" t="s">
        <v>470</v>
      </c>
      <c r="B151" s="2">
        <v>44983</v>
      </c>
      <c r="C151" s="1" t="s">
        <v>471</v>
      </c>
      <c r="D151" s="1" t="s">
        <v>472</v>
      </c>
      <c r="E151" s="1" t="s">
        <v>79</v>
      </c>
      <c r="F151" s="1" t="s">
        <v>23</v>
      </c>
      <c r="G151" s="1">
        <v>9</v>
      </c>
      <c r="H151" s="1">
        <v>57136</v>
      </c>
      <c r="I151" s="1">
        <v>514224</v>
      </c>
      <c r="J151" s="1">
        <v>58367</v>
      </c>
      <c r="K151" s="1">
        <v>455857</v>
      </c>
      <c r="L151" s="1">
        <v>455857</v>
      </c>
      <c r="M151" s="1" t="s">
        <v>39</v>
      </c>
      <c r="N151" s="1" t="s">
        <v>61</v>
      </c>
      <c r="O151" s="1" t="s">
        <v>62</v>
      </c>
      <c r="P151" s="1" t="s">
        <v>27</v>
      </c>
      <c r="Q151" s="1">
        <v>2023</v>
      </c>
      <c r="R151" s="1">
        <v>2</v>
      </c>
      <c r="S151" s="1" t="s">
        <v>68</v>
      </c>
    </row>
    <row r="152" spans="1:19" x14ac:dyDescent="0.35">
      <c r="A152" s="1" t="s">
        <v>473</v>
      </c>
      <c r="B152" s="2">
        <v>44399</v>
      </c>
      <c r="C152" s="1" t="s">
        <v>474</v>
      </c>
      <c r="D152" s="1" t="s">
        <v>475</v>
      </c>
      <c r="E152" s="1" t="s">
        <v>22</v>
      </c>
      <c r="F152" s="1" t="s">
        <v>23</v>
      </c>
      <c r="G152" s="1">
        <v>24</v>
      </c>
      <c r="H152" s="1">
        <v>684</v>
      </c>
      <c r="I152" s="1">
        <v>16416</v>
      </c>
      <c r="J152" s="1">
        <v>2234</v>
      </c>
      <c r="K152" s="1">
        <v>14182</v>
      </c>
      <c r="L152" s="1">
        <v>14182</v>
      </c>
      <c r="M152" s="1" t="s">
        <v>84</v>
      </c>
      <c r="N152" s="1" t="s">
        <v>54</v>
      </c>
      <c r="O152" s="1" t="s">
        <v>67</v>
      </c>
      <c r="P152" s="1" t="s">
        <v>27</v>
      </c>
      <c r="Q152" s="1">
        <v>2021</v>
      </c>
      <c r="R152" s="1">
        <v>7</v>
      </c>
      <c r="S152" s="1" t="s">
        <v>56</v>
      </c>
    </row>
    <row r="153" spans="1:19" x14ac:dyDescent="0.35">
      <c r="A153" s="1" t="s">
        <v>476</v>
      </c>
      <c r="B153" s="2">
        <v>45233</v>
      </c>
      <c r="C153" s="1" t="s">
        <v>477</v>
      </c>
      <c r="D153" s="1" t="s">
        <v>478</v>
      </c>
      <c r="E153" s="1" t="s">
        <v>45</v>
      </c>
      <c r="F153" s="1" t="s">
        <v>46</v>
      </c>
      <c r="G153" s="1">
        <v>8</v>
      </c>
      <c r="H153" s="1">
        <v>38634</v>
      </c>
      <c r="I153" s="1">
        <v>309072</v>
      </c>
      <c r="J153" s="1">
        <v>14739</v>
      </c>
      <c r="K153" s="1">
        <v>294333</v>
      </c>
      <c r="L153" s="1">
        <v>294333</v>
      </c>
      <c r="M153" s="1" t="s">
        <v>24</v>
      </c>
      <c r="N153" s="1" t="s">
        <v>61</v>
      </c>
      <c r="O153" s="1" t="s">
        <v>62</v>
      </c>
      <c r="P153" s="1" t="s">
        <v>27</v>
      </c>
      <c r="Q153" s="1">
        <v>2023</v>
      </c>
      <c r="R153" s="1">
        <v>11</v>
      </c>
      <c r="S153" s="1" t="s">
        <v>28</v>
      </c>
    </row>
    <row r="154" spans="1:19" x14ac:dyDescent="0.35">
      <c r="A154" s="1" t="s">
        <v>479</v>
      </c>
      <c r="B154" s="2">
        <v>44423</v>
      </c>
      <c r="C154" s="1" t="s">
        <v>421</v>
      </c>
      <c r="D154" s="1" t="s">
        <v>184</v>
      </c>
      <c r="E154" s="1" t="s">
        <v>106</v>
      </c>
      <c r="F154" s="1" t="s">
        <v>107</v>
      </c>
      <c r="G154" s="1">
        <v>4</v>
      </c>
      <c r="H154" s="1">
        <v>46361</v>
      </c>
      <c r="I154" s="1">
        <v>185444</v>
      </c>
      <c r="J154" s="1">
        <v>28479</v>
      </c>
      <c r="K154" s="1">
        <v>156965</v>
      </c>
      <c r="L154" s="1">
        <v>156965</v>
      </c>
      <c r="M154" s="1" t="s">
        <v>34</v>
      </c>
      <c r="N154" s="1" t="s">
        <v>25</v>
      </c>
      <c r="O154" s="1" t="s">
        <v>80</v>
      </c>
      <c r="P154" s="1" t="s">
        <v>27</v>
      </c>
      <c r="Q154" s="1">
        <v>2021</v>
      </c>
      <c r="R154" s="1">
        <v>8</v>
      </c>
      <c r="S154" s="1" t="s">
        <v>56</v>
      </c>
    </row>
    <row r="155" spans="1:19" x14ac:dyDescent="0.35">
      <c r="A155" s="1" t="s">
        <v>480</v>
      </c>
      <c r="B155" s="2">
        <v>43883</v>
      </c>
      <c r="C155" s="1" t="s">
        <v>481</v>
      </c>
      <c r="D155" s="1" t="s">
        <v>425</v>
      </c>
      <c r="E155" s="1" t="s">
        <v>53</v>
      </c>
      <c r="F155" s="1" t="s">
        <v>33</v>
      </c>
      <c r="G155" s="1">
        <v>28</v>
      </c>
      <c r="H155" s="1">
        <v>11196</v>
      </c>
      <c r="I155" s="1">
        <v>313488</v>
      </c>
      <c r="J155" s="1">
        <v>44894</v>
      </c>
      <c r="K155" s="1">
        <v>268594</v>
      </c>
      <c r="L155" s="1">
        <v>268594</v>
      </c>
      <c r="M155" s="1" t="s">
        <v>47</v>
      </c>
      <c r="N155" s="1" t="s">
        <v>54</v>
      </c>
      <c r="O155" s="1" t="s">
        <v>67</v>
      </c>
      <c r="P155" s="1" t="s">
        <v>27</v>
      </c>
      <c r="Q155" s="1">
        <v>2020</v>
      </c>
      <c r="R155" s="1">
        <v>2</v>
      </c>
      <c r="S155" s="1" t="s">
        <v>68</v>
      </c>
    </row>
    <row r="156" spans="1:19" x14ac:dyDescent="0.35">
      <c r="A156" s="1" t="s">
        <v>482</v>
      </c>
      <c r="B156" s="2">
        <v>44972</v>
      </c>
      <c r="C156" s="1" t="s">
        <v>483</v>
      </c>
      <c r="D156" s="1" t="s">
        <v>344</v>
      </c>
      <c r="E156" s="1" t="s">
        <v>106</v>
      </c>
      <c r="F156" s="1" t="s">
        <v>107</v>
      </c>
      <c r="G156" s="1">
        <v>13</v>
      </c>
      <c r="H156" s="1">
        <v>14077</v>
      </c>
      <c r="I156" s="1">
        <v>183001</v>
      </c>
      <c r="J156" s="1">
        <v>30563</v>
      </c>
      <c r="K156" s="1">
        <v>152438</v>
      </c>
      <c r="L156" s="1">
        <v>152438</v>
      </c>
      <c r="M156" s="1" t="s">
        <v>66</v>
      </c>
      <c r="N156" s="1" t="s">
        <v>54</v>
      </c>
      <c r="O156" s="1" t="s">
        <v>67</v>
      </c>
      <c r="P156" s="1" t="s">
        <v>27</v>
      </c>
      <c r="Q156" s="1">
        <v>2023</v>
      </c>
      <c r="R156" s="1">
        <v>2</v>
      </c>
      <c r="S156" s="1" t="s">
        <v>68</v>
      </c>
    </row>
    <row r="157" spans="1:19" x14ac:dyDescent="0.35">
      <c r="A157" s="1" t="s">
        <v>484</v>
      </c>
      <c r="B157" s="2">
        <v>43567</v>
      </c>
      <c r="C157" s="1" t="s">
        <v>415</v>
      </c>
      <c r="D157" s="1" t="s">
        <v>485</v>
      </c>
      <c r="E157" s="1" t="s">
        <v>53</v>
      </c>
      <c r="F157" s="1" t="s">
        <v>33</v>
      </c>
      <c r="G157" s="1">
        <v>18</v>
      </c>
      <c r="H157" s="1">
        <v>38499</v>
      </c>
      <c r="I157" s="1">
        <v>692982</v>
      </c>
      <c r="J157" s="1">
        <v>93689</v>
      </c>
      <c r="K157" s="1">
        <v>599293</v>
      </c>
      <c r="L157" s="1">
        <v>599293</v>
      </c>
      <c r="M157" s="1" t="s">
        <v>34</v>
      </c>
      <c r="N157" s="1" t="s">
        <v>40</v>
      </c>
      <c r="O157" s="1" t="s">
        <v>41</v>
      </c>
      <c r="P157" s="1" t="s">
        <v>27</v>
      </c>
      <c r="Q157" s="1">
        <v>2019</v>
      </c>
      <c r="R157" s="1">
        <v>4</v>
      </c>
      <c r="S157" s="1" t="s">
        <v>35</v>
      </c>
    </row>
    <row r="158" spans="1:19" x14ac:dyDescent="0.35">
      <c r="A158" s="1" t="s">
        <v>486</v>
      </c>
      <c r="B158" s="2">
        <v>44845</v>
      </c>
      <c r="C158" s="1" t="s">
        <v>487</v>
      </c>
      <c r="D158" s="1" t="s">
        <v>488</v>
      </c>
      <c r="E158" s="1" t="s">
        <v>60</v>
      </c>
      <c r="F158" s="1" t="s">
        <v>46</v>
      </c>
      <c r="G158" s="1">
        <v>7</v>
      </c>
      <c r="H158" s="1">
        <v>3577</v>
      </c>
      <c r="I158" s="1">
        <v>25039</v>
      </c>
      <c r="J158" s="1">
        <v>4515</v>
      </c>
      <c r="K158" s="1">
        <v>20524</v>
      </c>
      <c r="L158" s="1">
        <v>20524</v>
      </c>
      <c r="M158" s="1" t="s">
        <v>34</v>
      </c>
      <c r="N158" s="1" t="s">
        <v>40</v>
      </c>
      <c r="O158" s="1" t="s">
        <v>125</v>
      </c>
      <c r="P158" s="1" t="s">
        <v>27</v>
      </c>
      <c r="Q158" s="1">
        <v>2022</v>
      </c>
      <c r="R158" s="1">
        <v>10</v>
      </c>
      <c r="S158" s="1" t="s">
        <v>28</v>
      </c>
    </row>
    <row r="159" spans="1:19" x14ac:dyDescent="0.35">
      <c r="A159" s="1" t="s">
        <v>489</v>
      </c>
      <c r="B159" s="2">
        <v>45500</v>
      </c>
      <c r="C159" s="1" t="s">
        <v>490</v>
      </c>
      <c r="D159" s="1" t="s">
        <v>386</v>
      </c>
      <c r="E159" s="1" t="s">
        <v>60</v>
      </c>
      <c r="F159" s="1" t="s">
        <v>46</v>
      </c>
      <c r="G159" s="1">
        <v>11</v>
      </c>
      <c r="H159" s="1">
        <v>10919</v>
      </c>
      <c r="I159" s="1">
        <v>120109</v>
      </c>
      <c r="J159" s="1">
        <v>12019</v>
      </c>
      <c r="K159" s="1">
        <v>108090</v>
      </c>
      <c r="L159" s="1">
        <v>108090</v>
      </c>
      <c r="M159" s="1" t="s">
        <v>24</v>
      </c>
      <c r="N159" s="1" t="s">
        <v>61</v>
      </c>
      <c r="O159" s="1" t="s">
        <v>62</v>
      </c>
      <c r="P159" s="1" t="s">
        <v>27</v>
      </c>
      <c r="Q159" s="1">
        <v>2024</v>
      </c>
      <c r="R159" s="1">
        <v>7</v>
      </c>
      <c r="S159" s="1" t="s">
        <v>56</v>
      </c>
    </row>
    <row r="160" spans="1:19" x14ac:dyDescent="0.35">
      <c r="A160" s="1" t="s">
        <v>491</v>
      </c>
      <c r="B160" s="2">
        <v>44034</v>
      </c>
      <c r="C160" s="1" t="s">
        <v>492</v>
      </c>
      <c r="D160" s="1" t="s">
        <v>493</v>
      </c>
      <c r="E160" s="1" t="s">
        <v>124</v>
      </c>
      <c r="F160" s="1" t="s">
        <v>107</v>
      </c>
      <c r="G160" s="1">
        <v>19</v>
      </c>
      <c r="H160" s="1">
        <v>15341</v>
      </c>
      <c r="I160" s="1">
        <v>291479</v>
      </c>
      <c r="J160" s="1">
        <v>26461</v>
      </c>
      <c r="K160" s="1">
        <v>265018</v>
      </c>
      <c r="L160" s="1">
        <v>265018</v>
      </c>
      <c r="M160" s="1" t="s">
        <v>84</v>
      </c>
      <c r="N160" s="1" t="s">
        <v>101</v>
      </c>
      <c r="O160" s="1" t="s">
        <v>108</v>
      </c>
      <c r="P160" s="1" t="s">
        <v>27</v>
      </c>
      <c r="Q160" s="1">
        <v>2020</v>
      </c>
      <c r="R160" s="1">
        <v>7</v>
      </c>
      <c r="S160" s="1" t="s">
        <v>56</v>
      </c>
    </row>
    <row r="161" spans="1:19" x14ac:dyDescent="0.35">
      <c r="A161" s="1" t="s">
        <v>494</v>
      </c>
      <c r="B161" s="2">
        <v>45251</v>
      </c>
      <c r="C161" s="1" t="s">
        <v>495</v>
      </c>
      <c r="D161" s="1" t="s">
        <v>133</v>
      </c>
      <c r="E161" s="1" t="s">
        <v>106</v>
      </c>
      <c r="F161" s="1" t="s">
        <v>107</v>
      </c>
      <c r="G161" s="1">
        <v>3</v>
      </c>
      <c r="H161" s="1">
        <v>32651</v>
      </c>
      <c r="I161" s="1">
        <v>97953</v>
      </c>
      <c r="J161" s="1">
        <v>58</v>
      </c>
      <c r="K161" s="1">
        <v>97895</v>
      </c>
      <c r="L161" s="1">
        <v>97895</v>
      </c>
      <c r="M161" s="1" t="s">
        <v>66</v>
      </c>
      <c r="N161" s="1" t="s">
        <v>54</v>
      </c>
      <c r="O161" s="1" t="s">
        <v>55</v>
      </c>
      <c r="P161" s="1" t="s">
        <v>27</v>
      </c>
      <c r="Q161" s="1">
        <v>2023</v>
      </c>
      <c r="R161" s="1">
        <v>11</v>
      </c>
      <c r="S161" s="1" t="s">
        <v>28</v>
      </c>
    </row>
    <row r="162" spans="1:19" x14ac:dyDescent="0.35">
      <c r="A162" s="1" t="s">
        <v>496</v>
      </c>
      <c r="B162" s="2">
        <v>44362</v>
      </c>
      <c r="C162" s="1" t="s">
        <v>374</v>
      </c>
      <c r="D162" s="1" t="s">
        <v>154</v>
      </c>
      <c r="E162" s="1" t="s">
        <v>45</v>
      </c>
      <c r="F162" s="1" t="s">
        <v>46</v>
      </c>
      <c r="G162" s="1">
        <v>10</v>
      </c>
      <c r="H162" s="1">
        <v>47587</v>
      </c>
      <c r="I162" s="1">
        <v>475870</v>
      </c>
      <c r="J162" s="1">
        <v>68388</v>
      </c>
      <c r="K162" s="1">
        <v>407482</v>
      </c>
      <c r="L162" s="1">
        <v>407482</v>
      </c>
      <c r="M162" s="1" t="s">
        <v>47</v>
      </c>
      <c r="N162" s="1" t="s">
        <v>61</v>
      </c>
      <c r="O162" s="1" t="s">
        <v>62</v>
      </c>
      <c r="P162" s="1" t="s">
        <v>27</v>
      </c>
      <c r="Q162" s="1">
        <v>2021</v>
      </c>
      <c r="R162" s="1">
        <v>6</v>
      </c>
      <c r="S162" s="1" t="s">
        <v>35</v>
      </c>
    </row>
    <row r="163" spans="1:19" x14ac:dyDescent="0.35">
      <c r="A163" s="1" t="s">
        <v>497</v>
      </c>
      <c r="B163" s="2">
        <v>44201</v>
      </c>
      <c r="C163" s="1" t="s">
        <v>204</v>
      </c>
      <c r="D163" s="1" t="s">
        <v>498</v>
      </c>
      <c r="E163" s="1" t="s">
        <v>106</v>
      </c>
      <c r="F163" s="1" t="s">
        <v>107</v>
      </c>
      <c r="G163" s="1">
        <v>14</v>
      </c>
      <c r="H163" s="1">
        <v>54701</v>
      </c>
      <c r="I163" s="1">
        <v>765814</v>
      </c>
      <c r="J163" s="1">
        <v>239</v>
      </c>
      <c r="K163" s="1">
        <v>765575</v>
      </c>
      <c r="L163" s="1">
        <v>765575</v>
      </c>
      <c r="M163" s="1" t="s">
        <v>84</v>
      </c>
      <c r="N163" s="1" t="s">
        <v>101</v>
      </c>
      <c r="O163" s="1" t="s">
        <v>108</v>
      </c>
      <c r="P163" s="1" t="s">
        <v>27</v>
      </c>
      <c r="Q163" s="1">
        <v>2021</v>
      </c>
      <c r="R163" s="1">
        <v>1</v>
      </c>
      <c r="S163" s="1" t="s">
        <v>68</v>
      </c>
    </row>
    <row r="164" spans="1:19" x14ac:dyDescent="0.35">
      <c r="A164" s="1" t="s">
        <v>499</v>
      </c>
      <c r="B164" s="2">
        <v>43825</v>
      </c>
      <c r="C164" s="1" t="s">
        <v>500</v>
      </c>
      <c r="D164" s="1" t="s">
        <v>501</v>
      </c>
      <c r="E164" s="1" t="s">
        <v>106</v>
      </c>
      <c r="F164" s="1" t="s">
        <v>107</v>
      </c>
      <c r="G164" s="1">
        <v>13</v>
      </c>
      <c r="H164" s="1">
        <v>9319</v>
      </c>
      <c r="I164" s="1">
        <v>121147</v>
      </c>
      <c r="J164" s="1">
        <v>3154</v>
      </c>
      <c r="K164" s="1">
        <v>117993</v>
      </c>
      <c r="L164" s="1">
        <v>117993</v>
      </c>
      <c r="M164" s="1" t="s">
        <v>66</v>
      </c>
      <c r="N164" s="1" t="s">
        <v>48</v>
      </c>
      <c r="O164" s="1" t="s">
        <v>49</v>
      </c>
      <c r="P164" s="1" t="s">
        <v>27</v>
      </c>
      <c r="Q164" s="1">
        <v>2019</v>
      </c>
      <c r="R164" s="1">
        <v>12</v>
      </c>
      <c r="S164" s="1" t="s">
        <v>28</v>
      </c>
    </row>
    <row r="165" spans="1:19" x14ac:dyDescent="0.35">
      <c r="A165" s="1" t="s">
        <v>502</v>
      </c>
      <c r="B165" s="2">
        <v>45522</v>
      </c>
      <c r="C165" s="1" t="s">
        <v>503</v>
      </c>
      <c r="D165" s="1" t="s">
        <v>504</v>
      </c>
      <c r="E165" s="1" t="s">
        <v>124</v>
      </c>
      <c r="F165" s="1" t="s">
        <v>107</v>
      </c>
      <c r="G165" s="1">
        <v>18</v>
      </c>
      <c r="H165" s="1">
        <v>4015</v>
      </c>
      <c r="I165" s="1">
        <v>72270</v>
      </c>
      <c r="J165" s="1">
        <v>159</v>
      </c>
      <c r="K165" s="1">
        <v>72111</v>
      </c>
      <c r="L165" s="1">
        <v>72111</v>
      </c>
      <c r="M165" s="1" t="s">
        <v>47</v>
      </c>
      <c r="N165" s="1" t="s">
        <v>25</v>
      </c>
      <c r="O165" s="1" t="s">
        <v>26</v>
      </c>
      <c r="P165" s="1" t="s">
        <v>27</v>
      </c>
      <c r="Q165" s="1">
        <v>2024</v>
      </c>
      <c r="R165" s="1">
        <v>8</v>
      </c>
      <c r="S165" s="1" t="s">
        <v>56</v>
      </c>
    </row>
    <row r="166" spans="1:19" x14ac:dyDescent="0.35">
      <c r="A166" s="1" t="s">
        <v>505</v>
      </c>
      <c r="B166" s="2">
        <v>44487</v>
      </c>
      <c r="C166" s="1" t="s">
        <v>506</v>
      </c>
      <c r="D166" s="1" t="s">
        <v>507</v>
      </c>
      <c r="E166" s="1" t="s">
        <v>106</v>
      </c>
      <c r="F166" s="1" t="s">
        <v>107</v>
      </c>
      <c r="G166" s="1">
        <v>23</v>
      </c>
      <c r="H166" s="1">
        <v>22352</v>
      </c>
      <c r="I166" s="1">
        <v>514096</v>
      </c>
      <c r="J166" s="1">
        <v>82099</v>
      </c>
      <c r="K166" s="1">
        <v>431997</v>
      </c>
      <c r="L166" s="1">
        <v>431997</v>
      </c>
      <c r="M166" s="1" t="s">
        <v>47</v>
      </c>
      <c r="N166" s="1" t="s">
        <v>25</v>
      </c>
      <c r="O166" s="1" t="s">
        <v>26</v>
      </c>
      <c r="P166" s="1" t="s">
        <v>27</v>
      </c>
      <c r="Q166" s="1">
        <v>2021</v>
      </c>
      <c r="R166" s="1">
        <v>10</v>
      </c>
      <c r="S166" s="1" t="s">
        <v>28</v>
      </c>
    </row>
    <row r="167" spans="1:19" x14ac:dyDescent="0.35">
      <c r="A167" s="1" t="s">
        <v>508</v>
      </c>
      <c r="B167" s="2">
        <v>44852</v>
      </c>
      <c r="C167" s="1" t="s">
        <v>509</v>
      </c>
      <c r="D167" s="1" t="s">
        <v>510</v>
      </c>
      <c r="E167" s="1" t="s">
        <v>53</v>
      </c>
      <c r="F167" s="1" t="s">
        <v>33</v>
      </c>
      <c r="G167" s="1">
        <v>16</v>
      </c>
      <c r="H167" s="1">
        <v>15218</v>
      </c>
      <c r="I167" s="1">
        <v>243488</v>
      </c>
      <c r="J167" s="1">
        <v>33547</v>
      </c>
      <c r="K167" s="1">
        <v>209941</v>
      </c>
      <c r="L167" s="1">
        <v>209941</v>
      </c>
      <c r="M167" s="1" t="s">
        <v>47</v>
      </c>
      <c r="N167" s="1" t="s">
        <v>40</v>
      </c>
      <c r="O167" s="1" t="s">
        <v>75</v>
      </c>
      <c r="P167" s="1" t="s">
        <v>27</v>
      </c>
      <c r="Q167" s="1">
        <v>2022</v>
      </c>
      <c r="R167" s="1">
        <v>10</v>
      </c>
      <c r="S167" s="1" t="s">
        <v>28</v>
      </c>
    </row>
    <row r="168" spans="1:19" x14ac:dyDescent="0.35">
      <c r="A168" s="1" t="s">
        <v>511</v>
      </c>
      <c r="B168" s="2">
        <v>44545</v>
      </c>
      <c r="C168" s="1" t="s">
        <v>512</v>
      </c>
      <c r="D168" s="1" t="s">
        <v>513</v>
      </c>
      <c r="E168" s="1" t="s">
        <v>124</v>
      </c>
      <c r="F168" s="1" t="s">
        <v>107</v>
      </c>
      <c r="G168" s="1">
        <v>19</v>
      </c>
      <c r="H168" s="1">
        <v>8656</v>
      </c>
      <c r="I168" s="1">
        <v>164464</v>
      </c>
      <c r="J168" s="1">
        <v>32458</v>
      </c>
      <c r="K168" s="1">
        <v>132006</v>
      </c>
      <c r="L168" s="1">
        <v>132006</v>
      </c>
      <c r="M168" s="1" t="s">
        <v>66</v>
      </c>
      <c r="N168" s="1" t="s">
        <v>101</v>
      </c>
      <c r="O168" s="1" t="s">
        <v>108</v>
      </c>
      <c r="P168" s="1" t="s">
        <v>27</v>
      </c>
      <c r="Q168" s="1">
        <v>2021</v>
      </c>
      <c r="R168" s="1">
        <v>12</v>
      </c>
      <c r="S168" s="1" t="s">
        <v>28</v>
      </c>
    </row>
    <row r="169" spans="1:19" x14ac:dyDescent="0.35">
      <c r="A169" s="1" t="s">
        <v>514</v>
      </c>
      <c r="B169" s="2">
        <v>44309</v>
      </c>
      <c r="C169" s="1" t="s">
        <v>515</v>
      </c>
      <c r="D169" s="1" t="s">
        <v>513</v>
      </c>
      <c r="E169" s="1" t="s">
        <v>79</v>
      </c>
      <c r="F169" s="1" t="s">
        <v>23</v>
      </c>
      <c r="G169" s="1">
        <v>1</v>
      </c>
      <c r="H169" s="1">
        <v>22119</v>
      </c>
      <c r="I169" s="1">
        <v>22119</v>
      </c>
      <c r="J169" s="1">
        <v>790</v>
      </c>
      <c r="K169" s="1">
        <v>21329</v>
      </c>
      <c r="L169" s="1">
        <v>21329</v>
      </c>
      <c r="M169" s="1" t="s">
        <v>24</v>
      </c>
      <c r="N169" s="1" t="s">
        <v>25</v>
      </c>
      <c r="O169" s="1" t="s">
        <v>80</v>
      </c>
      <c r="P169" s="1" t="s">
        <v>27</v>
      </c>
      <c r="Q169" s="1">
        <v>2021</v>
      </c>
      <c r="R169" s="1">
        <v>4</v>
      </c>
      <c r="S169" s="1" t="s">
        <v>35</v>
      </c>
    </row>
    <row r="170" spans="1:19" x14ac:dyDescent="0.35">
      <c r="A170" s="1" t="s">
        <v>516</v>
      </c>
      <c r="B170" s="2">
        <v>44087</v>
      </c>
      <c r="C170" s="1" t="s">
        <v>517</v>
      </c>
      <c r="D170" s="1" t="s">
        <v>323</v>
      </c>
      <c r="E170" s="1" t="s">
        <v>79</v>
      </c>
      <c r="F170" s="1" t="s">
        <v>23</v>
      </c>
      <c r="G170" s="1">
        <v>15</v>
      </c>
      <c r="H170" s="1">
        <v>12080</v>
      </c>
      <c r="I170" s="1">
        <v>181200</v>
      </c>
      <c r="J170" s="1">
        <v>13974</v>
      </c>
      <c r="K170" s="1">
        <v>167226</v>
      </c>
      <c r="L170" s="1">
        <v>167226</v>
      </c>
      <c r="M170" s="1" t="s">
        <v>39</v>
      </c>
      <c r="N170" s="1" t="s">
        <v>40</v>
      </c>
      <c r="O170" s="1" t="s">
        <v>75</v>
      </c>
      <c r="P170" s="1" t="s">
        <v>27</v>
      </c>
      <c r="Q170" s="1">
        <v>2020</v>
      </c>
      <c r="R170" s="1">
        <v>9</v>
      </c>
      <c r="S170" s="1" t="s">
        <v>56</v>
      </c>
    </row>
    <row r="171" spans="1:19" x14ac:dyDescent="0.35">
      <c r="A171" s="1" t="s">
        <v>518</v>
      </c>
      <c r="B171" s="2">
        <v>44110</v>
      </c>
      <c r="C171" s="1" t="s">
        <v>333</v>
      </c>
      <c r="D171" s="1" t="s">
        <v>519</v>
      </c>
      <c r="E171" s="1" t="s">
        <v>53</v>
      </c>
      <c r="F171" s="1" t="s">
        <v>33</v>
      </c>
      <c r="G171" s="1">
        <v>15</v>
      </c>
      <c r="H171" s="1">
        <v>35120</v>
      </c>
      <c r="I171" s="1">
        <v>526800</v>
      </c>
      <c r="J171" s="1">
        <v>46711</v>
      </c>
      <c r="K171" s="1">
        <v>480089</v>
      </c>
      <c r="L171" s="1">
        <v>480089</v>
      </c>
      <c r="M171" s="1" t="s">
        <v>34</v>
      </c>
      <c r="N171" s="1" t="s">
        <v>61</v>
      </c>
      <c r="O171" s="1" t="s">
        <v>62</v>
      </c>
      <c r="P171" s="1" t="s">
        <v>27</v>
      </c>
      <c r="Q171" s="1">
        <v>2020</v>
      </c>
      <c r="R171" s="1">
        <v>10</v>
      </c>
      <c r="S171" s="1" t="s">
        <v>28</v>
      </c>
    </row>
    <row r="172" spans="1:19" x14ac:dyDescent="0.35">
      <c r="A172" s="1" t="s">
        <v>520</v>
      </c>
      <c r="B172" s="2">
        <v>45541</v>
      </c>
      <c r="C172" s="1" t="s">
        <v>521</v>
      </c>
      <c r="D172" s="1" t="s">
        <v>522</v>
      </c>
      <c r="E172" s="1" t="s">
        <v>60</v>
      </c>
      <c r="F172" s="1" t="s">
        <v>46</v>
      </c>
      <c r="G172" s="1">
        <v>16</v>
      </c>
      <c r="H172" s="1">
        <v>54060</v>
      </c>
      <c r="I172" s="1">
        <v>864960</v>
      </c>
      <c r="J172" s="1">
        <v>146023</v>
      </c>
      <c r="K172" s="1">
        <v>718937</v>
      </c>
      <c r="L172" s="1">
        <v>718937</v>
      </c>
      <c r="M172" s="1" t="s">
        <v>66</v>
      </c>
      <c r="N172" s="1" t="s">
        <v>101</v>
      </c>
      <c r="O172" s="1" t="s">
        <v>102</v>
      </c>
      <c r="P172" s="1" t="s">
        <v>27</v>
      </c>
      <c r="Q172" s="1">
        <v>2024</v>
      </c>
      <c r="R172" s="1">
        <v>9</v>
      </c>
      <c r="S172" s="1" t="s">
        <v>56</v>
      </c>
    </row>
    <row r="173" spans="1:19" x14ac:dyDescent="0.35">
      <c r="A173" s="1" t="s">
        <v>523</v>
      </c>
      <c r="B173" s="2">
        <v>43557</v>
      </c>
      <c r="C173" s="1" t="s">
        <v>524</v>
      </c>
      <c r="D173" s="1" t="s">
        <v>525</v>
      </c>
      <c r="E173" s="1" t="s">
        <v>32</v>
      </c>
      <c r="F173" s="1" t="s">
        <v>33</v>
      </c>
      <c r="G173" s="1">
        <v>10</v>
      </c>
      <c r="H173" s="1">
        <v>51556</v>
      </c>
      <c r="I173" s="1">
        <v>515560</v>
      </c>
      <c r="J173" s="1">
        <v>44100</v>
      </c>
      <c r="K173" s="1">
        <v>471460</v>
      </c>
      <c r="L173" s="1">
        <v>471460</v>
      </c>
      <c r="M173" s="1" t="s">
        <v>47</v>
      </c>
      <c r="N173" s="1" t="s">
        <v>40</v>
      </c>
      <c r="O173" s="1" t="s">
        <v>75</v>
      </c>
      <c r="P173" s="1" t="s">
        <v>27</v>
      </c>
      <c r="Q173" s="1">
        <v>2019</v>
      </c>
      <c r="R173" s="1">
        <v>4</v>
      </c>
      <c r="S173" s="1" t="s">
        <v>35</v>
      </c>
    </row>
    <row r="174" spans="1:19" x14ac:dyDescent="0.35">
      <c r="A174" s="1" t="s">
        <v>526</v>
      </c>
      <c r="B174" s="2">
        <v>45038</v>
      </c>
      <c r="C174" s="1" t="s">
        <v>527</v>
      </c>
      <c r="D174" s="1" t="s">
        <v>528</v>
      </c>
      <c r="E174" s="1" t="s">
        <v>106</v>
      </c>
      <c r="F174" s="1" t="s">
        <v>107</v>
      </c>
      <c r="G174" s="1">
        <v>15</v>
      </c>
      <c r="H174" s="1">
        <v>8228</v>
      </c>
      <c r="I174" s="1">
        <v>123420</v>
      </c>
      <c r="J174" s="1">
        <v>2254</v>
      </c>
      <c r="K174" s="1">
        <v>121166</v>
      </c>
      <c r="L174" s="1">
        <v>121166</v>
      </c>
      <c r="M174" s="1" t="s">
        <v>84</v>
      </c>
      <c r="N174" s="1" t="s">
        <v>61</v>
      </c>
      <c r="O174" s="1" t="s">
        <v>88</v>
      </c>
      <c r="P174" s="1" t="s">
        <v>27</v>
      </c>
      <c r="Q174" s="1">
        <v>2023</v>
      </c>
      <c r="R174" s="1">
        <v>4</v>
      </c>
      <c r="S174" s="1" t="s">
        <v>35</v>
      </c>
    </row>
    <row r="175" spans="1:19" x14ac:dyDescent="0.35">
      <c r="A175" s="1" t="s">
        <v>529</v>
      </c>
      <c r="B175" s="2">
        <v>45583</v>
      </c>
      <c r="C175" s="1" t="s">
        <v>530</v>
      </c>
      <c r="D175" s="1" t="s">
        <v>145</v>
      </c>
      <c r="E175" s="1" t="s">
        <v>106</v>
      </c>
      <c r="F175" s="1" t="s">
        <v>107</v>
      </c>
      <c r="G175" s="1">
        <v>27</v>
      </c>
      <c r="H175" s="1">
        <v>41137</v>
      </c>
      <c r="I175" s="1">
        <v>1110699</v>
      </c>
      <c r="J175" s="1">
        <v>78598</v>
      </c>
      <c r="K175" s="1">
        <v>1032101</v>
      </c>
      <c r="L175" s="1">
        <v>1032101</v>
      </c>
      <c r="M175" s="1" t="s">
        <v>47</v>
      </c>
      <c r="N175" s="1" t="s">
        <v>25</v>
      </c>
      <c r="O175" s="1" t="s">
        <v>80</v>
      </c>
      <c r="P175" s="1" t="s">
        <v>27</v>
      </c>
      <c r="Q175" s="1">
        <v>2024</v>
      </c>
      <c r="R175" s="1">
        <v>10</v>
      </c>
      <c r="S175" s="1" t="s">
        <v>28</v>
      </c>
    </row>
    <row r="176" spans="1:19" x14ac:dyDescent="0.35">
      <c r="A176" s="1" t="s">
        <v>531</v>
      </c>
      <c r="B176" s="2">
        <v>44126</v>
      </c>
      <c r="C176" s="1" t="s">
        <v>532</v>
      </c>
      <c r="D176" s="1" t="s">
        <v>533</v>
      </c>
      <c r="E176" s="1" t="s">
        <v>45</v>
      </c>
      <c r="F176" s="1" t="s">
        <v>46</v>
      </c>
      <c r="G176" s="1">
        <v>1</v>
      </c>
      <c r="H176" s="1">
        <v>51109</v>
      </c>
      <c r="I176" s="1">
        <v>51109</v>
      </c>
      <c r="J176" s="1">
        <v>4938</v>
      </c>
      <c r="K176" s="1">
        <v>46171</v>
      </c>
      <c r="L176" s="1">
        <v>46171</v>
      </c>
      <c r="M176" s="1" t="s">
        <v>39</v>
      </c>
      <c r="N176" s="1" t="s">
        <v>101</v>
      </c>
      <c r="O176" s="1" t="s">
        <v>102</v>
      </c>
      <c r="P176" s="1" t="s">
        <v>27</v>
      </c>
      <c r="Q176" s="1">
        <v>2020</v>
      </c>
      <c r="R176" s="1">
        <v>10</v>
      </c>
      <c r="S176" s="1" t="s">
        <v>28</v>
      </c>
    </row>
    <row r="177" spans="1:19" x14ac:dyDescent="0.35">
      <c r="A177" s="1" t="s">
        <v>534</v>
      </c>
      <c r="B177" s="2">
        <v>43664</v>
      </c>
      <c r="C177" s="1" t="s">
        <v>535</v>
      </c>
      <c r="D177" s="1" t="s">
        <v>536</v>
      </c>
      <c r="E177" s="1" t="s">
        <v>22</v>
      </c>
      <c r="F177" s="1" t="s">
        <v>23</v>
      </c>
      <c r="G177" s="1">
        <v>12</v>
      </c>
      <c r="H177" s="1">
        <v>46357</v>
      </c>
      <c r="I177" s="1">
        <v>556284</v>
      </c>
      <c r="J177" s="1">
        <v>8439</v>
      </c>
      <c r="K177" s="1">
        <v>547845</v>
      </c>
      <c r="L177" s="1">
        <v>547845</v>
      </c>
      <c r="M177" s="1" t="s">
        <v>47</v>
      </c>
      <c r="N177" s="1" t="s">
        <v>61</v>
      </c>
      <c r="O177" s="1" t="s">
        <v>88</v>
      </c>
      <c r="P177" s="1" t="s">
        <v>27</v>
      </c>
      <c r="Q177" s="1">
        <v>2019</v>
      </c>
      <c r="R177" s="1">
        <v>7</v>
      </c>
      <c r="S177" s="1" t="s">
        <v>56</v>
      </c>
    </row>
    <row r="178" spans="1:19" x14ac:dyDescent="0.35">
      <c r="A178" s="1" t="s">
        <v>537</v>
      </c>
      <c r="B178" s="2">
        <v>45378</v>
      </c>
      <c r="C178" s="1" t="s">
        <v>192</v>
      </c>
      <c r="D178" s="1" t="s">
        <v>538</v>
      </c>
      <c r="E178" s="1" t="s">
        <v>22</v>
      </c>
      <c r="F178" s="1" t="s">
        <v>23</v>
      </c>
      <c r="G178" s="1">
        <v>14</v>
      </c>
      <c r="H178" s="1">
        <v>43321</v>
      </c>
      <c r="I178" s="1">
        <v>606494</v>
      </c>
      <c r="J178" s="1">
        <v>41715</v>
      </c>
      <c r="K178" s="1">
        <v>564779</v>
      </c>
      <c r="L178" s="1">
        <v>564779</v>
      </c>
      <c r="M178" s="1" t="s">
        <v>47</v>
      </c>
      <c r="N178" s="1" t="s">
        <v>101</v>
      </c>
      <c r="O178" s="1" t="s">
        <v>108</v>
      </c>
      <c r="P178" s="1" t="s">
        <v>27</v>
      </c>
      <c r="Q178" s="1">
        <v>2024</v>
      </c>
      <c r="R178" s="1">
        <v>3</v>
      </c>
      <c r="S178" s="1" t="s">
        <v>68</v>
      </c>
    </row>
    <row r="179" spans="1:19" x14ac:dyDescent="0.35">
      <c r="A179" s="1" t="s">
        <v>539</v>
      </c>
      <c r="B179" s="2">
        <v>43533</v>
      </c>
      <c r="C179" s="1" t="s">
        <v>540</v>
      </c>
      <c r="D179" s="1" t="s">
        <v>541</v>
      </c>
      <c r="E179" s="1" t="s">
        <v>45</v>
      </c>
      <c r="F179" s="1" t="s">
        <v>46</v>
      </c>
      <c r="G179" s="1">
        <v>10</v>
      </c>
      <c r="H179" s="1">
        <v>17893</v>
      </c>
      <c r="I179" s="1">
        <v>178930</v>
      </c>
      <c r="J179" s="1">
        <v>13238</v>
      </c>
      <c r="K179" s="1">
        <v>165692</v>
      </c>
      <c r="L179" s="1">
        <v>165692</v>
      </c>
      <c r="M179" s="1" t="s">
        <v>24</v>
      </c>
      <c r="N179" s="1" t="s">
        <v>25</v>
      </c>
      <c r="O179" s="1" t="s">
        <v>26</v>
      </c>
      <c r="P179" s="1" t="s">
        <v>27</v>
      </c>
      <c r="Q179" s="1">
        <v>2019</v>
      </c>
      <c r="R179" s="1">
        <v>3</v>
      </c>
      <c r="S179" s="1" t="s">
        <v>68</v>
      </c>
    </row>
    <row r="180" spans="1:19" x14ac:dyDescent="0.35">
      <c r="A180" s="1" t="s">
        <v>542</v>
      </c>
      <c r="B180" s="2">
        <v>45078</v>
      </c>
      <c r="C180" s="1" t="s">
        <v>365</v>
      </c>
      <c r="D180" s="1" t="s">
        <v>543</v>
      </c>
      <c r="E180" s="1" t="s">
        <v>124</v>
      </c>
      <c r="F180" s="1" t="s">
        <v>107</v>
      </c>
      <c r="G180" s="1">
        <v>24</v>
      </c>
      <c r="H180" s="1">
        <v>31721</v>
      </c>
      <c r="I180" s="1">
        <v>761304</v>
      </c>
      <c r="J180" s="1">
        <v>37376</v>
      </c>
      <c r="K180" s="1">
        <v>723928</v>
      </c>
      <c r="L180" s="1">
        <v>723928</v>
      </c>
      <c r="M180" s="1" t="s">
        <v>47</v>
      </c>
      <c r="N180" s="1" t="s">
        <v>101</v>
      </c>
      <c r="O180" s="1" t="s">
        <v>102</v>
      </c>
      <c r="P180" s="1" t="s">
        <v>27</v>
      </c>
      <c r="Q180" s="1">
        <v>2023</v>
      </c>
      <c r="R180" s="1">
        <v>6</v>
      </c>
      <c r="S180" s="1" t="s">
        <v>35</v>
      </c>
    </row>
    <row r="181" spans="1:19" x14ac:dyDescent="0.35">
      <c r="A181" s="1" t="s">
        <v>544</v>
      </c>
      <c r="B181" s="2">
        <v>43881</v>
      </c>
      <c r="C181" s="1" t="s">
        <v>253</v>
      </c>
      <c r="D181" s="1" t="s">
        <v>545</v>
      </c>
      <c r="E181" s="1" t="s">
        <v>124</v>
      </c>
      <c r="F181" s="1" t="s">
        <v>107</v>
      </c>
      <c r="G181" s="1">
        <v>1</v>
      </c>
      <c r="H181" s="1">
        <v>11309</v>
      </c>
      <c r="I181" s="1">
        <v>11309</v>
      </c>
      <c r="J181" s="1">
        <v>369</v>
      </c>
      <c r="K181" s="1">
        <v>10940</v>
      </c>
      <c r="L181" s="1">
        <v>10940</v>
      </c>
      <c r="M181" s="1" t="s">
        <v>34</v>
      </c>
      <c r="N181" s="1" t="s">
        <v>25</v>
      </c>
      <c r="O181" s="1" t="s">
        <v>26</v>
      </c>
      <c r="P181" s="1" t="s">
        <v>27</v>
      </c>
      <c r="Q181" s="1">
        <v>2020</v>
      </c>
      <c r="R181" s="1">
        <v>2</v>
      </c>
      <c r="S181" s="1" t="s">
        <v>68</v>
      </c>
    </row>
    <row r="182" spans="1:19" x14ac:dyDescent="0.35">
      <c r="A182" s="1" t="s">
        <v>546</v>
      </c>
      <c r="B182" s="2">
        <v>44208</v>
      </c>
      <c r="C182" s="1" t="s">
        <v>547</v>
      </c>
      <c r="D182" s="1" t="s">
        <v>548</v>
      </c>
      <c r="E182" s="1" t="s">
        <v>124</v>
      </c>
      <c r="F182" s="1" t="s">
        <v>107</v>
      </c>
      <c r="G182" s="1">
        <v>20</v>
      </c>
      <c r="H182" s="1">
        <v>44042</v>
      </c>
      <c r="I182" s="1">
        <v>880840</v>
      </c>
      <c r="J182" s="1">
        <v>58541</v>
      </c>
      <c r="K182" s="1">
        <v>822299</v>
      </c>
      <c r="L182" s="1">
        <v>822299</v>
      </c>
      <c r="M182" s="1" t="s">
        <v>66</v>
      </c>
      <c r="N182" s="1" t="s">
        <v>25</v>
      </c>
      <c r="O182" s="1" t="s">
        <v>80</v>
      </c>
      <c r="P182" s="1" t="s">
        <v>27</v>
      </c>
      <c r="Q182" s="1">
        <v>2021</v>
      </c>
      <c r="R182" s="1">
        <v>1</v>
      </c>
      <c r="S182" s="1" t="s">
        <v>68</v>
      </c>
    </row>
    <row r="183" spans="1:19" x14ac:dyDescent="0.35">
      <c r="A183" s="1" t="s">
        <v>549</v>
      </c>
      <c r="B183" s="2">
        <v>45313</v>
      </c>
      <c r="C183" s="1" t="s">
        <v>278</v>
      </c>
      <c r="D183" s="1" t="s">
        <v>375</v>
      </c>
      <c r="E183" s="1" t="s">
        <v>32</v>
      </c>
      <c r="F183" s="1" t="s">
        <v>33</v>
      </c>
      <c r="G183" s="1">
        <v>28</v>
      </c>
      <c r="H183" s="1">
        <v>52023</v>
      </c>
      <c r="I183" s="1">
        <v>1456644</v>
      </c>
      <c r="J183" s="1">
        <v>160028</v>
      </c>
      <c r="K183" s="1">
        <v>1296616</v>
      </c>
      <c r="L183" s="1">
        <v>1296616</v>
      </c>
      <c r="M183" s="1" t="s">
        <v>24</v>
      </c>
      <c r="N183" s="1" t="s">
        <v>25</v>
      </c>
      <c r="O183" s="1" t="s">
        <v>26</v>
      </c>
      <c r="P183" s="1" t="s">
        <v>27</v>
      </c>
      <c r="Q183" s="1">
        <v>2024</v>
      </c>
      <c r="R183" s="1">
        <v>1</v>
      </c>
      <c r="S183" s="1" t="s">
        <v>68</v>
      </c>
    </row>
    <row r="184" spans="1:19" x14ac:dyDescent="0.35">
      <c r="A184" s="1" t="s">
        <v>550</v>
      </c>
      <c r="B184" s="2">
        <v>43643</v>
      </c>
      <c r="C184" s="1" t="s">
        <v>86</v>
      </c>
      <c r="D184" s="1" t="s">
        <v>120</v>
      </c>
      <c r="E184" s="1" t="s">
        <v>106</v>
      </c>
      <c r="F184" s="1" t="s">
        <v>107</v>
      </c>
      <c r="G184" s="1">
        <v>20</v>
      </c>
      <c r="H184" s="1">
        <v>8926</v>
      </c>
      <c r="I184" s="1">
        <v>178520</v>
      </c>
      <c r="J184" s="1">
        <v>24095</v>
      </c>
      <c r="K184" s="1">
        <v>154425</v>
      </c>
      <c r="L184" s="1">
        <v>154425</v>
      </c>
      <c r="M184" s="1" t="s">
        <v>34</v>
      </c>
      <c r="N184" s="1" t="s">
        <v>54</v>
      </c>
      <c r="O184" s="1" t="s">
        <v>67</v>
      </c>
      <c r="P184" s="1" t="s">
        <v>27</v>
      </c>
      <c r="Q184" s="1">
        <v>2019</v>
      </c>
      <c r="R184" s="1">
        <v>6</v>
      </c>
      <c r="S184" s="1" t="s">
        <v>35</v>
      </c>
    </row>
    <row r="185" spans="1:19" x14ac:dyDescent="0.35">
      <c r="A185" s="1" t="s">
        <v>551</v>
      </c>
      <c r="B185" s="2">
        <v>43492</v>
      </c>
      <c r="C185" s="1" t="s">
        <v>296</v>
      </c>
      <c r="D185" s="1" t="s">
        <v>172</v>
      </c>
      <c r="E185" s="1" t="s">
        <v>60</v>
      </c>
      <c r="F185" s="1" t="s">
        <v>46</v>
      </c>
      <c r="G185" s="1">
        <v>10</v>
      </c>
      <c r="H185" s="1">
        <v>48513</v>
      </c>
      <c r="I185" s="1">
        <v>485130</v>
      </c>
      <c r="J185" s="1">
        <v>79907</v>
      </c>
      <c r="K185" s="1">
        <v>405223</v>
      </c>
      <c r="L185" s="1">
        <v>405223</v>
      </c>
      <c r="M185" s="1" t="s">
        <v>39</v>
      </c>
      <c r="N185" s="1" t="s">
        <v>25</v>
      </c>
      <c r="O185" s="1" t="s">
        <v>26</v>
      </c>
      <c r="P185" s="1" t="s">
        <v>27</v>
      </c>
      <c r="Q185" s="1">
        <v>2019</v>
      </c>
      <c r="R185" s="1">
        <v>1</v>
      </c>
      <c r="S185" s="1" t="s">
        <v>68</v>
      </c>
    </row>
    <row r="186" spans="1:19" x14ac:dyDescent="0.35">
      <c r="A186" s="1" t="s">
        <v>552</v>
      </c>
      <c r="B186" s="2">
        <v>45643</v>
      </c>
      <c r="C186" s="1" t="s">
        <v>553</v>
      </c>
      <c r="D186" s="1" t="s">
        <v>554</v>
      </c>
      <c r="E186" s="1" t="s">
        <v>22</v>
      </c>
      <c r="F186" s="1" t="s">
        <v>23</v>
      </c>
      <c r="G186" s="1">
        <v>30</v>
      </c>
      <c r="H186" s="1">
        <v>19941</v>
      </c>
      <c r="I186" s="1">
        <v>598230</v>
      </c>
      <c r="J186" s="1">
        <v>40143</v>
      </c>
      <c r="K186" s="1">
        <v>558087</v>
      </c>
      <c r="L186" s="1">
        <v>558087</v>
      </c>
      <c r="M186" s="1" t="s">
        <v>39</v>
      </c>
      <c r="N186" s="1" t="s">
        <v>101</v>
      </c>
      <c r="O186" s="1" t="s">
        <v>102</v>
      </c>
      <c r="P186" s="1" t="s">
        <v>27</v>
      </c>
      <c r="Q186" s="1">
        <v>2024</v>
      </c>
      <c r="R186" s="1">
        <v>12</v>
      </c>
      <c r="S186" s="1" t="s">
        <v>28</v>
      </c>
    </row>
    <row r="187" spans="1:19" x14ac:dyDescent="0.35">
      <c r="A187" s="1" t="s">
        <v>555</v>
      </c>
      <c r="B187" s="2">
        <v>44459</v>
      </c>
      <c r="C187" s="1" t="s">
        <v>556</v>
      </c>
      <c r="D187" s="1" t="s">
        <v>557</v>
      </c>
      <c r="E187" s="1" t="s">
        <v>79</v>
      </c>
      <c r="F187" s="1" t="s">
        <v>23</v>
      </c>
      <c r="G187" s="1">
        <v>7</v>
      </c>
      <c r="H187" s="1">
        <v>219</v>
      </c>
      <c r="I187" s="1">
        <v>1533</v>
      </c>
      <c r="J187" s="1">
        <v>15</v>
      </c>
      <c r="K187" s="1">
        <v>1518</v>
      </c>
      <c r="L187" s="1">
        <v>1518</v>
      </c>
      <c r="M187" s="1" t="s">
        <v>39</v>
      </c>
      <c r="N187" s="1" t="s">
        <v>101</v>
      </c>
      <c r="O187" s="1" t="s">
        <v>108</v>
      </c>
      <c r="P187" s="1" t="s">
        <v>27</v>
      </c>
      <c r="Q187" s="1">
        <v>2021</v>
      </c>
      <c r="R187" s="1">
        <v>9</v>
      </c>
      <c r="S187" s="1" t="s">
        <v>56</v>
      </c>
    </row>
    <row r="188" spans="1:19" x14ac:dyDescent="0.35">
      <c r="A188" s="1" t="s">
        <v>558</v>
      </c>
      <c r="B188" s="2">
        <v>45025</v>
      </c>
      <c r="C188" s="1" t="s">
        <v>559</v>
      </c>
      <c r="D188" s="1" t="s">
        <v>560</v>
      </c>
      <c r="E188" s="1" t="s">
        <v>106</v>
      </c>
      <c r="F188" s="1" t="s">
        <v>107</v>
      </c>
      <c r="G188" s="1">
        <v>11</v>
      </c>
      <c r="H188" s="1">
        <v>48856</v>
      </c>
      <c r="I188" s="1">
        <v>537416</v>
      </c>
      <c r="J188" s="1">
        <v>86690</v>
      </c>
      <c r="K188" s="1">
        <v>450726</v>
      </c>
      <c r="L188" s="1">
        <v>450726</v>
      </c>
      <c r="M188" s="1" t="s">
        <v>47</v>
      </c>
      <c r="N188" s="1" t="s">
        <v>40</v>
      </c>
      <c r="O188" s="1" t="s">
        <v>75</v>
      </c>
      <c r="P188" s="1" t="s">
        <v>27</v>
      </c>
      <c r="Q188" s="1">
        <v>2023</v>
      </c>
      <c r="R188" s="1">
        <v>4</v>
      </c>
      <c r="S188" s="1" t="s">
        <v>35</v>
      </c>
    </row>
    <row r="189" spans="1:19" x14ac:dyDescent="0.35">
      <c r="A189" s="1" t="s">
        <v>561</v>
      </c>
      <c r="B189" s="2">
        <v>44382</v>
      </c>
      <c r="C189" s="1" t="s">
        <v>562</v>
      </c>
      <c r="D189" s="1" t="s">
        <v>334</v>
      </c>
      <c r="E189" s="1" t="s">
        <v>32</v>
      </c>
      <c r="F189" s="1" t="s">
        <v>33</v>
      </c>
      <c r="G189" s="1">
        <v>30</v>
      </c>
      <c r="H189" s="1">
        <v>19571</v>
      </c>
      <c r="I189" s="1">
        <v>587130</v>
      </c>
      <c r="J189" s="1">
        <v>57059</v>
      </c>
      <c r="K189" s="1">
        <v>530071</v>
      </c>
      <c r="L189" s="1">
        <v>530071</v>
      </c>
      <c r="M189" s="1" t="s">
        <v>24</v>
      </c>
      <c r="N189" s="1" t="s">
        <v>48</v>
      </c>
      <c r="O189" s="1" t="s">
        <v>49</v>
      </c>
      <c r="P189" s="1" t="s">
        <v>27</v>
      </c>
      <c r="Q189" s="1">
        <v>2021</v>
      </c>
      <c r="R189" s="1">
        <v>7</v>
      </c>
      <c r="S189" s="1" t="s">
        <v>56</v>
      </c>
    </row>
    <row r="190" spans="1:19" x14ac:dyDescent="0.35">
      <c r="A190" s="1" t="s">
        <v>563</v>
      </c>
      <c r="B190" s="2">
        <v>44279</v>
      </c>
      <c r="C190" s="1" t="s">
        <v>564</v>
      </c>
      <c r="D190" s="1" t="s">
        <v>319</v>
      </c>
      <c r="E190" s="1" t="s">
        <v>22</v>
      </c>
      <c r="F190" s="1" t="s">
        <v>23</v>
      </c>
      <c r="G190" s="1">
        <v>23</v>
      </c>
      <c r="H190" s="1">
        <v>49430</v>
      </c>
      <c r="I190" s="1">
        <v>1136890</v>
      </c>
      <c r="J190" s="1">
        <v>163809</v>
      </c>
      <c r="K190" s="1">
        <v>973081</v>
      </c>
      <c r="L190" s="1">
        <v>973081</v>
      </c>
      <c r="M190" s="1" t="s">
        <v>84</v>
      </c>
      <c r="N190" s="1" t="s">
        <v>40</v>
      </c>
      <c r="O190" s="1" t="s">
        <v>75</v>
      </c>
      <c r="P190" s="1" t="s">
        <v>27</v>
      </c>
      <c r="Q190" s="1">
        <v>2021</v>
      </c>
      <c r="R190" s="1">
        <v>3</v>
      </c>
      <c r="S190" s="1" t="s">
        <v>68</v>
      </c>
    </row>
    <row r="191" spans="1:19" x14ac:dyDescent="0.35">
      <c r="A191" s="1" t="s">
        <v>565</v>
      </c>
      <c r="B191" s="2">
        <v>45284</v>
      </c>
      <c r="C191" s="1" t="s">
        <v>566</v>
      </c>
      <c r="D191" s="1" t="s">
        <v>567</v>
      </c>
      <c r="E191" s="1" t="s">
        <v>124</v>
      </c>
      <c r="F191" s="1" t="s">
        <v>107</v>
      </c>
      <c r="G191" s="1">
        <v>27</v>
      </c>
      <c r="H191" s="1">
        <v>5729</v>
      </c>
      <c r="I191" s="1">
        <v>154683</v>
      </c>
      <c r="J191" s="1">
        <v>21134</v>
      </c>
      <c r="K191" s="1">
        <v>133549</v>
      </c>
      <c r="L191" s="1">
        <v>133549</v>
      </c>
      <c r="M191" s="1" t="s">
        <v>39</v>
      </c>
      <c r="N191" s="1" t="s">
        <v>61</v>
      </c>
      <c r="O191" s="1" t="s">
        <v>62</v>
      </c>
      <c r="P191" s="1" t="s">
        <v>27</v>
      </c>
      <c r="Q191" s="1">
        <v>2023</v>
      </c>
      <c r="R191" s="1">
        <v>12</v>
      </c>
      <c r="S191" s="1" t="s">
        <v>28</v>
      </c>
    </row>
    <row r="192" spans="1:19" x14ac:dyDescent="0.35">
      <c r="A192" s="1" t="s">
        <v>568</v>
      </c>
      <c r="B192" s="2">
        <v>43951</v>
      </c>
      <c r="C192" s="1" t="s">
        <v>318</v>
      </c>
      <c r="D192" s="1" t="s">
        <v>569</v>
      </c>
      <c r="E192" s="1" t="s">
        <v>106</v>
      </c>
      <c r="F192" s="1" t="s">
        <v>107</v>
      </c>
      <c r="G192" s="1">
        <v>20</v>
      </c>
      <c r="H192" s="1">
        <v>50757</v>
      </c>
      <c r="I192" s="1">
        <v>1015140</v>
      </c>
      <c r="J192" s="1">
        <v>153178</v>
      </c>
      <c r="K192" s="1">
        <v>861962</v>
      </c>
      <c r="L192" s="1">
        <v>861962</v>
      </c>
      <c r="M192" s="1" t="s">
        <v>39</v>
      </c>
      <c r="N192" s="1" t="s">
        <v>61</v>
      </c>
      <c r="O192" s="1" t="s">
        <v>88</v>
      </c>
      <c r="P192" s="1" t="s">
        <v>27</v>
      </c>
      <c r="Q192" s="1">
        <v>2020</v>
      </c>
      <c r="R192" s="1">
        <v>4</v>
      </c>
      <c r="S192" s="1" t="s">
        <v>35</v>
      </c>
    </row>
    <row r="193" spans="1:19" x14ac:dyDescent="0.35">
      <c r="A193" s="1" t="s">
        <v>570</v>
      </c>
      <c r="B193" s="2">
        <v>43574</v>
      </c>
      <c r="C193" s="1" t="s">
        <v>571</v>
      </c>
      <c r="D193" s="1" t="s">
        <v>572</v>
      </c>
      <c r="E193" s="1" t="s">
        <v>79</v>
      </c>
      <c r="F193" s="1" t="s">
        <v>23</v>
      </c>
      <c r="G193" s="1">
        <v>19</v>
      </c>
      <c r="H193" s="1">
        <v>39091</v>
      </c>
      <c r="I193" s="1">
        <v>742729</v>
      </c>
      <c r="J193" s="1">
        <v>119529</v>
      </c>
      <c r="K193" s="1">
        <v>623200</v>
      </c>
      <c r="L193" s="1">
        <v>623200</v>
      </c>
      <c r="M193" s="1" t="s">
        <v>47</v>
      </c>
      <c r="N193" s="1" t="s">
        <v>25</v>
      </c>
      <c r="O193" s="1" t="s">
        <v>26</v>
      </c>
      <c r="P193" s="1" t="s">
        <v>27</v>
      </c>
      <c r="Q193" s="1">
        <v>2019</v>
      </c>
      <c r="R193" s="1">
        <v>4</v>
      </c>
      <c r="S193" s="1" t="s">
        <v>35</v>
      </c>
    </row>
    <row r="194" spans="1:19" x14ac:dyDescent="0.35">
      <c r="A194" s="1" t="s">
        <v>573</v>
      </c>
      <c r="B194" s="2">
        <v>44349</v>
      </c>
      <c r="C194" s="1" t="s">
        <v>574</v>
      </c>
      <c r="D194" s="1" t="s">
        <v>575</v>
      </c>
      <c r="E194" s="1" t="s">
        <v>53</v>
      </c>
      <c r="F194" s="1" t="s">
        <v>33</v>
      </c>
      <c r="G194" s="1">
        <v>11</v>
      </c>
      <c r="H194" s="1">
        <v>27318</v>
      </c>
      <c r="I194" s="1">
        <v>300498</v>
      </c>
      <c r="J194" s="1">
        <v>46706</v>
      </c>
      <c r="K194" s="1">
        <v>253792</v>
      </c>
      <c r="L194" s="1">
        <v>253792</v>
      </c>
      <c r="M194" s="1" t="s">
        <v>84</v>
      </c>
      <c r="N194" s="1" t="s">
        <v>101</v>
      </c>
      <c r="O194" s="1" t="s">
        <v>102</v>
      </c>
      <c r="P194" s="1" t="s">
        <v>27</v>
      </c>
      <c r="Q194" s="1">
        <v>2021</v>
      </c>
      <c r="R194" s="1">
        <v>6</v>
      </c>
      <c r="S194" s="1" t="s">
        <v>35</v>
      </c>
    </row>
    <row r="195" spans="1:19" x14ac:dyDescent="0.35">
      <c r="A195" s="1" t="s">
        <v>576</v>
      </c>
      <c r="B195" s="2">
        <v>45367</v>
      </c>
      <c r="C195" s="1" t="s">
        <v>577</v>
      </c>
      <c r="D195" s="1" t="s">
        <v>336</v>
      </c>
      <c r="E195" s="1" t="s">
        <v>32</v>
      </c>
      <c r="F195" s="1" t="s">
        <v>33</v>
      </c>
      <c r="G195" s="1">
        <v>22</v>
      </c>
      <c r="H195" s="1">
        <v>36021</v>
      </c>
      <c r="I195" s="1">
        <v>792462</v>
      </c>
      <c r="J195" s="1">
        <v>127077</v>
      </c>
      <c r="K195" s="1">
        <v>665385</v>
      </c>
      <c r="L195" s="1">
        <v>665385</v>
      </c>
      <c r="M195" s="1" t="s">
        <v>84</v>
      </c>
      <c r="N195" s="1" t="s">
        <v>54</v>
      </c>
      <c r="O195" s="1" t="s">
        <v>55</v>
      </c>
      <c r="P195" s="1" t="s">
        <v>27</v>
      </c>
      <c r="Q195" s="1">
        <v>2024</v>
      </c>
      <c r="R195" s="1">
        <v>3</v>
      </c>
      <c r="S195" s="1" t="s">
        <v>68</v>
      </c>
    </row>
    <row r="196" spans="1:19" x14ac:dyDescent="0.35">
      <c r="A196" s="1" t="s">
        <v>578</v>
      </c>
      <c r="B196" s="2">
        <v>45341</v>
      </c>
      <c r="C196" s="1" t="s">
        <v>579</v>
      </c>
      <c r="D196" s="1" t="s">
        <v>580</v>
      </c>
      <c r="E196" s="1" t="s">
        <v>124</v>
      </c>
      <c r="F196" s="1" t="s">
        <v>107</v>
      </c>
      <c r="G196" s="1">
        <v>8</v>
      </c>
      <c r="H196" s="1">
        <v>50029</v>
      </c>
      <c r="I196" s="1">
        <v>400232</v>
      </c>
      <c r="J196" s="1">
        <v>44782</v>
      </c>
      <c r="K196" s="1">
        <v>355450</v>
      </c>
      <c r="L196" s="1">
        <v>355450</v>
      </c>
      <c r="M196" s="1" t="s">
        <v>47</v>
      </c>
      <c r="N196" s="1" t="s">
        <v>48</v>
      </c>
      <c r="O196" s="1" t="s">
        <v>49</v>
      </c>
      <c r="P196" s="1" t="s">
        <v>27</v>
      </c>
      <c r="Q196" s="1">
        <v>2024</v>
      </c>
      <c r="R196" s="1">
        <v>2</v>
      </c>
      <c r="S196" s="1" t="s">
        <v>68</v>
      </c>
    </row>
    <row r="197" spans="1:19" x14ac:dyDescent="0.35">
      <c r="A197" s="1" t="s">
        <v>581</v>
      </c>
      <c r="B197" s="2">
        <v>45372</v>
      </c>
      <c r="C197" s="1" t="s">
        <v>582</v>
      </c>
      <c r="D197" s="1" t="s">
        <v>583</v>
      </c>
      <c r="E197" s="1" t="s">
        <v>32</v>
      </c>
      <c r="F197" s="1" t="s">
        <v>33</v>
      </c>
      <c r="G197" s="1">
        <v>30</v>
      </c>
      <c r="H197" s="1">
        <v>30810</v>
      </c>
      <c r="I197" s="1">
        <v>924300</v>
      </c>
      <c r="J197" s="1">
        <v>171059</v>
      </c>
      <c r="K197" s="1">
        <v>753241</v>
      </c>
      <c r="L197" s="1">
        <v>753241</v>
      </c>
      <c r="M197" s="1" t="s">
        <v>47</v>
      </c>
      <c r="N197" s="1" t="s">
        <v>54</v>
      </c>
      <c r="O197" s="1" t="s">
        <v>55</v>
      </c>
      <c r="P197" s="1" t="s">
        <v>27</v>
      </c>
      <c r="Q197" s="1">
        <v>2024</v>
      </c>
      <c r="R197" s="1">
        <v>3</v>
      </c>
      <c r="S197" s="1" t="s">
        <v>68</v>
      </c>
    </row>
    <row r="198" spans="1:19" x14ac:dyDescent="0.35">
      <c r="A198" s="1" t="s">
        <v>584</v>
      </c>
      <c r="B198" s="2">
        <v>44390</v>
      </c>
      <c r="C198" s="1" t="s">
        <v>585</v>
      </c>
      <c r="D198" s="1" t="s">
        <v>586</v>
      </c>
      <c r="E198" s="1" t="s">
        <v>53</v>
      </c>
      <c r="F198" s="1" t="s">
        <v>33</v>
      </c>
      <c r="G198" s="1">
        <v>6</v>
      </c>
      <c r="H198" s="1">
        <v>51999</v>
      </c>
      <c r="I198" s="1">
        <v>311994</v>
      </c>
      <c r="J198" s="1">
        <v>43049</v>
      </c>
      <c r="K198" s="1">
        <v>268945</v>
      </c>
      <c r="L198" s="1">
        <v>268945</v>
      </c>
      <c r="M198" s="1" t="s">
        <v>24</v>
      </c>
      <c r="N198" s="1" t="s">
        <v>25</v>
      </c>
      <c r="O198" s="1" t="s">
        <v>80</v>
      </c>
      <c r="P198" s="1" t="s">
        <v>27</v>
      </c>
      <c r="Q198" s="1">
        <v>2021</v>
      </c>
      <c r="R198" s="1">
        <v>7</v>
      </c>
      <c r="S198" s="1" t="s">
        <v>56</v>
      </c>
    </row>
    <row r="199" spans="1:19" x14ac:dyDescent="0.35">
      <c r="A199" s="1" t="s">
        <v>587</v>
      </c>
      <c r="B199" s="2">
        <v>45618</v>
      </c>
      <c r="C199" s="1" t="s">
        <v>588</v>
      </c>
      <c r="D199" s="1" t="s">
        <v>589</v>
      </c>
      <c r="E199" s="1" t="s">
        <v>79</v>
      </c>
      <c r="F199" s="1" t="s">
        <v>23</v>
      </c>
      <c r="G199" s="1">
        <v>11</v>
      </c>
      <c r="H199" s="1">
        <v>10581</v>
      </c>
      <c r="I199" s="1">
        <v>116391</v>
      </c>
      <c r="J199" s="1">
        <v>19965</v>
      </c>
      <c r="K199" s="1">
        <v>96426</v>
      </c>
      <c r="L199" s="1">
        <v>96426</v>
      </c>
      <c r="M199" s="1" t="s">
        <v>66</v>
      </c>
      <c r="N199" s="1" t="s">
        <v>54</v>
      </c>
      <c r="O199" s="1" t="s">
        <v>67</v>
      </c>
      <c r="P199" s="1" t="s">
        <v>27</v>
      </c>
      <c r="Q199" s="1">
        <v>2024</v>
      </c>
      <c r="R199" s="1">
        <v>11</v>
      </c>
      <c r="S199" s="1" t="s">
        <v>28</v>
      </c>
    </row>
    <row r="200" spans="1:19" x14ac:dyDescent="0.35">
      <c r="A200" s="1" t="s">
        <v>590</v>
      </c>
      <c r="B200" s="2">
        <v>44448</v>
      </c>
      <c r="C200" s="1" t="s">
        <v>591</v>
      </c>
      <c r="D200" s="1" t="s">
        <v>181</v>
      </c>
      <c r="E200" s="1" t="s">
        <v>106</v>
      </c>
      <c r="F200" s="1" t="s">
        <v>107</v>
      </c>
      <c r="G200" s="1">
        <v>20</v>
      </c>
      <c r="H200" s="1">
        <v>52016</v>
      </c>
      <c r="I200" s="1">
        <v>1040320</v>
      </c>
      <c r="J200" s="1">
        <v>40575</v>
      </c>
      <c r="K200" s="1">
        <v>999745</v>
      </c>
      <c r="L200" s="1">
        <v>999745</v>
      </c>
      <c r="M200" s="1" t="s">
        <v>47</v>
      </c>
      <c r="N200" s="1" t="s">
        <v>61</v>
      </c>
      <c r="O200" s="1" t="s">
        <v>88</v>
      </c>
      <c r="P200" s="1" t="s">
        <v>27</v>
      </c>
      <c r="Q200" s="1">
        <v>2021</v>
      </c>
      <c r="R200" s="1">
        <v>9</v>
      </c>
      <c r="S200" s="1" t="s">
        <v>56</v>
      </c>
    </row>
    <row r="201" spans="1:19" x14ac:dyDescent="0.35">
      <c r="A201" s="1" t="s">
        <v>592</v>
      </c>
      <c r="B201" s="2">
        <v>45135</v>
      </c>
      <c r="C201" s="1" t="s">
        <v>593</v>
      </c>
      <c r="D201" s="1" t="s">
        <v>594</v>
      </c>
      <c r="E201" s="1" t="s">
        <v>22</v>
      </c>
      <c r="F201" s="1" t="s">
        <v>23</v>
      </c>
      <c r="G201" s="1">
        <v>2</v>
      </c>
      <c r="H201" s="1">
        <v>52351</v>
      </c>
      <c r="I201" s="1">
        <v>104702</v>
      </c>
      <c r="J201" s="1">
        <v>1856</v>
      </c>
      <c r="K201" s="1">
        <v>102846</v>
      </c>
      <c r="L201" s="1">
        <v>102846</v>
      </c>
      <c r="M201" s="1" t="s">
        <v>84</v>
      </c>
      <c r="N201" s="1" t="s">
        <v>48</v>
      </c>
      <c r="O201" s="1" t="s">
        <v>49</v>
      </c>
      <c r="P201" s="1" t="s">
        <v>27</v>
      </c>
      <c r="Q201" s="1">
        <v>2023</v>
      </c>
      <c r="R201" s="1">
        <v>7</v>
      </c>
      <c r="S201" s="1" t="s">
        <v>56</v>
      </c>
    </row>
    <row r="202" spans="1:19" x14ac:dyDescent="0.35">
      <c r="A202" s="1" t="s">
        <v>595</v>
      </c>
      <c r="B202" s="2">
        <v>45639</v>
      </c>
      <c r="C202" s="1" t="s">
        <v>596</v>
      </c>
      <c r="D202" s="1" t="s">
        <v>597</v>
      </c>
      <c r="E202" s="1" t="s">
        <v>53</v>
      </c>
      <c r="F202" s="1" t="s">
        <v>33</v>
      </c>
      <c r="G202" s="1">
        <v>25</v>
      </c>
      <c r="H202" s="1">
        <v>58211</v>
      </c>
      <c r="I202" s="1">
        <v>1455275</v>
      </c>
      <c r="J202" s="1">
        <v>57017</v>
      </c>
      <c r="K202" s="1">
        <v>1398258</v>
      </c>
      <c r="L202" s="1">
        <v>1398258</v>
      </c>
      <c r="M202" s="1" t="s">
        <v>66</v>
      </c>
      <c r="N202" s="1" t="s">
        <v>25</v>
      </c>
      <c r="O202" s="1" t="s">
        <v>80</v>
      </c>
      <c r="P202" s="1" t="s">
        <v>27</v>
      </c>
      <c r="Q202" s="1">
        <v>2024</v>
      </c>
      <c r="R202" s="1">
        <v>12</v>
      </c>
      <c r="S202" s="1" t="s">
        <v>28</v>
      </c>
    </row>
    <row r="203" spans="1:19" x14ac:dyDescent="0.35">
      <c r="A203" s="1" t="s">
        <v>598</v>
      </c>
      <c r="B203" s="2">
        <v>43932</v>
      </c>
      <c r="C203" s="1" t="s">
        <v>30</v>
      </c>
      <c r="D203" s="1" t="s">
        <v>599</v>
      </c>
      <c r="E203" s="1" t="s">
        <v>79</v>
      </c>
      <c r="F203" s="1" t="s">
        <v>23</v>
      </c>
      <c r="G203" s="1">
        <v>19</v>
      </c>
      <c r="H203" s="1">
        <v>37817</v>
      </c>
      <c r="I203" s="1">
        <v>718523</v>
      </c>
      <c r="J203" s="1">
        <v>64717</v>
      </c>
      <c r="K203" s="1">
        <v>653806</v>
      </c>
      <c r="L203" s="1">
        <v>653806</v>
      </c>
      <c r="M203" s="1" t="s">
        <v>39</v>
      </c>
      <c r="N203" s="1" t="s">
        <v>61</v>
      </c>
      <c r="O203" s="1" t="s">
        <v>88</v>
      </c>
      <c r="P203" s="1" t="s">
        <v>27</v>
      </c>
      <c r="Q203" s="1">
        <v>2020</v>
      </c>
      <c r="R203" s="1">
        <v>4</v>
      </c>
      <c r="S203" s="1" t="s">
        <v>35</v>
      </c>
    </row>
    <row r="204" spans="1:19" x14ac:dyDescent="0.35">
      <c r="A204" s="1" t="s">
        <v>600</v>
      </c>
      <c r="B204" s="2">
        <v>45064</v>
      </c>
      <c r="C204" s="1" t="s">
        <v>601</v>
      </c>
      <c r="D204" s="1" t="s">
        <v>261</v>
      </c>
      <c r="E204" s="1" t="s">
        <v>32</v>
      </c>
      <c r="F204" s="1" t="s">
        <v>33</v>
      </c>
      <c r="G204" s="1">
        <v>10</v>
      </c>
      <c r="H204" s="1">
        <v>49377</v>
      </c>
      <c r="I204" s="1">
        <v>493770</v>
      </c>
      <c r="J204" s="1">
        <v>41322</v>
      </c>
      <c r="K204" s="1">
        <v>452448</v>
      </c>
      <c r="L204" s="1">
        <v>452448</v>
      </c>
      <c r="M204" s="1" t="s">
        <v>66</v>
      </c>
      <c r="N204" s="1" t="s">
        <v>61</v>
      </c>
      <c r="O204" s="1" t="s">
        <v>88</v>
      </c>
      <c r="P204" s="1" t="s">
        <v>27</v>
      </c>
      <c r="Q204" s="1">
        <v>2023</v>
      </c>
      <c r="R204" s="1">
        <v>5</v>
      </c>
      <c r="S204" s="1" t="s">
        <v>35</v>
      </c>
    </row>
    <row r="205" spans="1:19" x14ac:dyDescent="0.35">
      <c r="A205" s="1" t="s">
        <v>602</v>
      </c>
      <c r="B205" s="2">
        <v>44085</v>
      </c>
      <c r="C205" s="1" t="s">
        <v>603</v>
      </c>
      <c r="D205" s="1" t="s">
        <v>604</v>
      </c>
      <c r="E205" s="1" t="s">
        <v>124</v>
      </c>
      <c r="F205" s="1" t="s">
        <v>107</v>
      </c>
      <c r="G205" s="1">
        <v>8</v>
      </c>
      <c r="H205" s="1">
        <v>9998</v>
      </c>
      <c r="I205" s="1">
        <v>79984</v>
      </c>
      <c r="J205" s="1">
        <v>11490</v>
      </c>
      <c r="K205" s="1">
        <v>68494</v>
      </c>
      <c r="L205" s="1">
        <v>68494</v>
      </c>
      <c r="M205" s="1" t="s">
        <v>84</v>
      </c>
      <c r="N205" s="1" t="s">
        <v>54</v>
      </c>
      <c r="O205" s="1" t="s">
        <v>67</v>
      </c>
      <c r="P205" s="1" t="s">
        <v>27</v>
      </c>
      <c r="Q205" s="1">
        <v>2020</v>
      </c>
      <c r="R205" s="1">
        <v>9</v>
      </c>
      <c r="S205" s="1" t="s">
        <v>56</v>
      </c>
    </row>
    <row r="206" spans="1:19" x14ac:dyDescent="0.35">
      <c r="A206" s="1" t="s">
        <v>605</v>
      </c>
      <c r="B206" s="2">
        <v>43927</v>
      </c>
      <c r="C206" s="1" t="s">
        <v>392</v>
      </c>
      <c r="D206" s="1" t="s">
        <v>606</v>
      </c>
      <c r="E206" s="1" t="s">
        <v>45</v>
      </c>
      <c r="F206" s="1" t="s">
        <v>46</v>
      </c>
      <c r="G206" s="1">
        <v>10</v>
      </c>
      <c r="H206" s="1">
        <v>39741</v>
      </c>
      <c r="I206" s="1">
        <v>397410</v>
      </c>
      <c r="J206" s="1">
        <v>56</v>
      </c>
      <c r="K206" s="1">
        <v>397354</v>
      </c>
      <c r="L206" s="1">
        <v>397354</v>
      </c>
      <c r="M206" s="1" t="s">
        <v>66</v>
      </c>
      <c r="N206" s="1" t="s">
        <v>40</v>
      </c>
      <c r="O206" s="1" t="s">
        <v>125</v>
      </c>
      <c r="P206" s="1" t="s">
        <v>27</v>
      </c>
      <c r="Q206" s="1">
        <v>2020</v>
      </c>
      <c r="R206" s="1">
        <v>4</v>
      </c>
      <c r="S206" s="1" t="s">
        <v>35</v>
      </c>
    </row>
    <row r="207" spans="1:19" x14ac:dyDescent="0.35">
      <c r="A207" s="1" t="s">
        <v>607</v>
      </c>
      <c r="B207" s="2">
        <v>44628</v>
      </c>
      <c r="C207" s="1" t="s">
        <v>500</v>
      </c>
      <c r="D207" s="1" t="s">
        <v>608</v>
      </c>
      <c r="E207" s="1" t="s">
        <v>60</v>
      </c>
      <c r="F207" s="1" t="s">
        <v>46</v>
      </c>
      <c r="G207" s="1">
        <v>21</v>
      </c>
      <c r="H207" s="1">
        <v>22089</v>
      </c>
      <c r="I207" s="1">
        <v>463869</v>
      </c>
      <c r="J207" s="1">
        <v>40838</v>
      </c>
      <c r="K207" s="1">
        <v>423031</v>
      </c>
      <c r="L207" s="1">
        <v>423031</v>
      </c>
      <c r="M207" s="1" t="s">
        <v>84</v>
      </c>
      <c r="N207" s="1" t="s">
        <v>25</v>
      </c>
      <c r="O207" s="1" t="s">
        <v>26</v>
      </c>
      <c r="P207" s="1" t="s">
        <v>27</v>
      </c>
      <c r="Q207" s="1">
        <v>2022</v>
      </c>
      <c r="R207" s="1">
        <v>3</v>
      </c>
      <c r="S207" s="1" t="s">
        <v>68</v>
      </c>
    </row>
    <row r="208" spans="1:19" x14ac:dyDescent="0.35">
      <c r="A208" s="1" t="s">
        <v>609</v>
      </c>
      <c r="B208" s="2">
        <v>43876</v>
      </c>
      <c r="C208" s="1" t="s">
        <v>610</v>
      </c>
      <c r="D208" s="1" t="s">
        <v>611</v>
      </c>
      <c r="E208" s="1" t="s">
        <v>106</v>
      </c>
      <c r="F208" s="1" t="s">
        <v>107</v>
      </c>
      <c r="G208" s="1">
        <v>28</v>
      </c>
      <c r="H208" s="1">
        <v>40325</v>
      </c>
      <c r="I208" s="1">
        <v>1129100</v>
      </c>
      <c r="J208" s="1">
        <v>50462</v>
      </c>
      <c r="K208" s="1">
        <v>1078638</v>
      </c>
      <c r="L208" s="1">
        <v>1078638</v>
      </c>
      <c r="M208" s="1" t="s">
        <v>84</v>
      </c>
      <c r="N208" s="1" t="s">
        <v>101</v>
      </c>
      <c r="O208" s="1" t="s">
        <v>102</v>
      </c>
      <c r="P208" s="1" t="s">
        <v>27</v>
      </c>
      <c r="Q208" s="1">
        <v>2020</v>
      </c>
      <c r="R208" s="1">
        <v>2</v>
      </c>
      <c r="S208" s="1" t="s">
        <v>68</v>
      </c>
    </row>
    <row r="209" spans="1:19" x14ac:dyDescent="0.35">
      <c r="A209" s="1" t="s">
        <v>612</v>
      </c>
      <c r="B209" s="2">
        <v>44444</v>
      </c>
      <c r="C209" s="1" t="s">
        <v>613</v>
      </c>
      <c r="D209" s="1" t="s">
        <v>614</v>
      </c>
      <c r="E209" s="1" t="s">
        <v>22</v>
      </c>
      <c r="F209" s="1" t="s">
        <v>23</v>
      </c>
      <c r="G209" s="1">
        <v>30</v>
      </c>
      <c r="H209" s="1">
        <v>51049</v>
      </c>
      <c r="I209" s="1">
        <v>1531470</v>
      </c>
      <c r="J209" s="1">
        <v>266174</v>
      </c>
      <c r="K209" s="1">
        <v>1265296</v>
      </c>
      <c r="L209" s="1">
        <v>1265296</v>
      </c>
      <c r="M209" s="1" t="s">
        <v>34</v>
      </c>
      <c r="N209" s="1" t="s">
        <v>25</v>
      </c>
      <c r="O209" s="1" t="s">
        <v>26</v>
      </c>
      <c r="P209" s="1" t="s">
        <v>27</v>
      </c>
      <c r="Q209" s="1">
        <v>2021</v>
      </c>
      <c r="R209" s="1">
        <v>9</v>
      </c>
      <c r="S209" s="1" t="s">
        <v>56</v>
      </c>
    </row>
    <row r="210" spans="1:19" x14ac:dyDescent="0.35">
      <c r="A210" s="1" t="s">
        <v>615</v>
      </c>
      <c r="B210" s="2">
        <v>43614</v>
      </c>
      <c r="C210" s="1" t="s">
        <v>616</v>
      </c>
      <c r="D210" s="1" t="s">
        <v>617</v>
      </c>
      <c r="E210" s="1" t="s">
        <v>79</v>
      </c>
      <c r="F210" s="1" t="s">
        <v>23</v>
      </c>
      <c r="G210" s="1">
        <v>21</v>
      </c>
      <c r="H210" s="1">
        <v>15480</v>
      </c>
      <c r="I210" s="1">
        <v>325080</v>
      </c>
      <c r="J210" s="1">
        <v>12920</v>
      </c>
      <c r="K210" s="1">
        <v>312160</v>
      </c>
      <c r="L210" s="1">
        <v>312160</v>
      </c>
      <c r="M210" s="1" t="s">
        <v>66</v>
      </c>
      <c r="N210" s="1" t="s">
        <v>25</v>
      </c>
      <c r="O210" s="1" t="s">
        <v>80</v>
      </c>
      <c r="P210" s="1" t="s">
        <v>27</v>
      </c>
      <c r="Q210" s="1">
        <v>2019</v>
      </c>
      <c r="R210" s="1">
        <v>5</v>
      </c>
      <c r="S210" s="1" t="s">
        <v>35</v>
      </c>
    </row>
    <row r="211" spans="1:19" x14ac:dyDescent="0.35">
      <c r="A211" s="1" t="s">
        <v>618</v>
      </c>
      <c r="B211" s="2">
        <v>43474</v>
      </c>
      <c r="C211" s="1" t="s">
        <v>619</v>
      </c>
      <c r="D211" s="1" t="s">
        <v>175</v>
      </c>
      <c r="E211" s="1" t="s">
        <v>60</v>
      </c>
      <c r="F211" s="1" t="s">
        <v>46</v>
      </c>
      <c r="G211" s="1">
        <v>4</v>
      </c>
      <c r="H211" s="1">
        <v>38299</v>
      </c>
      <c r="I211" s="1">
        <v>153196</v>
      </c>
      <c r="J211" s="1">
        <v>21232</v>
      </c>
      <c r="K211" s="1">
        <v>131964</v>
      </c>
      <c r="L211" s="1">
        <v>131964</v>
      </c>
      <c r="M211" s="1" t="s">
        <v>34</v>
      </c>
      <c r="N211" s="1" t="s">
        <v>48</v>
      </c>
      <c r="O211" s="1" t="s">
        <v>49</v>
      </c>
      <c r="P211" s="1" t="s">
        <v>27</v>
      </c>
      <c r="Q211" s="1">
        <v>2019</v>
      </c>
      <c r="R211" s="1">
        <v>1</v>
      </c>
      <c r="S211" s="1" t="s">
        <v>68</v>
      </c>
    </row>
    <row r="212" spans="1:19" x14ac:dyDescent="0.35">
      <c r="A212" s="1" t="s">
        <v>620</v>
      </c>
      <c r="B212" s="2">
        <v>43888</v>
      </c>
      <c r="C212" s="1" t="s">
        <v>621</v>
      </c>
      <c r="D212" s="1" t="s">
        <v>622</v>
      </c>
      <c r="E212" s="1" t="s">
        <v>53</v>
      </c>
      <c r="F212" s="1" t="s">
        <v>33</v>
      </c>
      <c r="G212" s="1">
        <v>18</v>
      </c>
      <c r="H212" s="1">
        <v>7192</v>
      </c>
      <c r="I212" s="1">
        <v>129456</v>
      </c>
      <c r="J212" s="1">
        <v>9851</v>
      </c>
      <c r="K212" s="1">
        <v>119605</v>
      </c>
      <c r="L212" s="1">
        <v>119605</v>
      </c>
      <c r="M212" s="1" t="s">
        <v>34</v>
      </c>
      <c r="N212" s="1" t="s">
        <v>40</v>
      </c>
      <c r="O212" s="1" t="s">
        <v>125</v>
      </c>
      <c r="P212" s="1" t="s">
        <v>27</v>
      </c>
      <c r="Q212" s="1">
        <v>2020</v>
      </c>
      <c r="R212" s="1">
        <v>2</v>
      </c>
      <c r="S212" s="1" t="s">
        <v>68</v>
      </c>
    </row>
    <row r="213" spans="1:19" x14ac:dyDescent="0.35">
      <c r="A213" s="1" t="s">
        <v>623</v>
      </c>
      <c r="B213" s="2">
        <v>45461</v>
      </c>
      <c r="C213" s="1" t="s">
        <v>209</v>
      </c>
      <c r="D213" s="1" t="s">
        <v>624</v>
      </c>
      <c r="E213" s="1" t="s">
        <v>45</v>
      </c>
      <c r="F213" s="1" t="s">
        <v>46</v>
      </c>
      <c r="G213" s="1">
        <v>8</v>
      </c>
      <c r="H213" s="1">
        <v>24065</v>
      </c>
      <c r="I213" s="1">
        <v>192520</v>
      </c>
      <c r="J213" s="1">
        <v>1049</v>
      </c>
      <c r="K213" s="1">
        <v>191471</v>
      </c>
      <c r="L213" s="1">
        <v>191471</v>
      </c>
      <c r="M213" s="1" t="s">
        <v>34</v>
      </c>
      <c r="N213" s="1" t="s">
        <v>25</v>
      </c>
      <c r="O213" s="1" t="s">
        <v>26</v>
      </c>
      <c r="P213" s="1" t="s">
        <v>27</v>
      </c>
      <c r="Q213" s="1">
        <v>2024</v>
      </c>
      <c r="R213" s="1">
        <v>6</v>
      </c>
      <c r="S213" s="1" t="s">
        <v>35</v>
      </c>
    </row>
    <row r="214" spans="1:19" x14ac:dyDescent="0.35">
      <c r="A214" s="1" t="s">
        <v>625</v>
      </c>
      <c r="B214" s="2">
        <v>43766</v>
      </c>
      <c r="C214" s="1" t="s">
        <v>626</v>
      </c>
      <c r="D214" s="1" t="s">
        <v>627</v>
      </c>
      <c r="E214" s="1" t="s">
        <v>32</v>
      </c>
      <c r="F214" s="1" t="s">
        <v>33</v>
      </c>
      <c r="G214" s="1">
        <v>17</v>
      </c>
      <c r="H214" s="1">
        <v>46641</v>
      </c>
      <c r="I214" s="1">
        <v>792897</v>
      </c>
      <c r="J214" s="1">
        <v>54739</v>
      </c>
      <c r="K214" s="1">
        <v>738158</v>
      </c>
      <c r="L214" s="1">
        <v>738158</v>
      </c>
      <c r="M214" s="1" t="s">
        <v>34</v>
      </c>
      <c r="N214" s="1" t="s">
        <v>61</v>
      </c>
      <c r="O214" s="1" t="s">
        <v>88</v>
      </c>
      <c r="P214" s="1" t="s">
        <v>27</v>
      </c>
      <c r="Q214" s="1">
        <v>2019</v>
      </c>
      <c r="R214" s="1">
        <v>10</v>
      </c>
      <c r="S214" s="1" t="s">
        <v>28</v>
      </c>
    </row>
    <row r="215" spans="1:19" x14ac:dyDescent="0.35">
      <c r="A215" s="1" t="s">
        <v>628</v>
      </c>
      <c r="B215" s="2">
        <v>44583</v>
      </c>
      <c r="C215" s="1" t="s">
        <v>380</v>
      </c>
      <c r="D215" s="1" t="s">
        <v>629</v>
      </c>
      <c r="E215" s="1" t="s">
        <v>22</v>
      </c>
      <c r="F215" s="1" t="s">
        <v>23</v>
      </c>
      <c r="G215" s="1">
        <v>19</v>
      </c>
      <c r="H215" s="1">
        <v>59213</v>
      </c>
      <c r="I215" s="1">
        <v>1125047</v>
      </c>
      <c r="J215" s="1">
        <v>38784</v>
      </c>
      <c r="K215" s="1">
        <v>1086263</v>
      </c>
      <c r="L215" s="1">
        <v>1086263</v>
      </c>
      <c r="M215" s="1" t="s">
        <v>84</v>
      </c>
      <c r="N215" s="1" t="s">
        <v>54</v>
      </c>
      <c r="O215" s="1" t="s">
        <v>67</v>
      </c>
      <c r="P215" s="1" t="s">
        <v>27</v>
      </c>
      <c r="Q215" s="1">
        <v>2022</v>
      </c>
      <c r="R215" s="1">
        <v>1</v>
      </c>
      <c r="S215" s="1" t="s">
        <v>68</v>
      </c>
    </row>
    <row r="216" spans="1:19" x14ac:dyDescent="0.35">
      <c r="A216" s="1" t="s">
        <v>630</v>
      </c>
      <c r="B216" s="2">
        <v>43890</v>
      </c>
      <c r="C216" s="1" t="s">
        <v>631</v>
      </c>
      <c r="D216" s="1" t="s">
        <v>398</v>
      </c>
      <c r="E216" s="1" t="s">
        <v>22</v>
      </c>
      <c r="F216" s="1" t="s">
        <v>23</v>
      </c>
      <c r="G216" s="1">
        <v>15</v>
      </c>
      <c r="H216" s="1">
        <v>2989</v>
      </c>
      <c r="I216" s="1">
        <v>44835</v>
      </c>
      <c r="J216" s="1">
        <v>7188</v>
      </c>
      <c r="K216" s="1">
        <v>37647</v>
      </c>
      <c r="L216" s="1">
        <v>37647</v>
      </c>
      <c r="M216" s="1" t="s">
        <v>34</v>
      </c>
      <c r="N216" s="1" t="s">
        <v>54</v>
      </c>
      <c r="O216" s="1" t="s">
        <v>67</v>
      </c>
      <c r="P216" s="1" t="s">
        <v>27</v>
      </c>
      <c r="Q216" s="1">
        <v>2020</v>
      </c>
      <c r="R216" s="1">
        <v>2</v>
      </c>
      <c r="S216" s="1" t="s">
        <v>68</v>
      </c>
    </row>
    <row r="217" spans="1:19" x14ac:dyDescent="0.35">
      <c r="A217" s="1" t="s">
        <v>632</v>
      </c>
      <c r="B217" s="2">
        <v>45287</v>
      </c>
      <c r="C217" s="1" t="s">
        <v>268</v>
      </c>
      <c r="D217" s="1" t="s">
        <v>269</v>
      </c>
      <c r="E217" s="1" t="s">
        <v>53</v>
      </c>
      <c r="F217" s="1" t="s">
        <v>33</v>
      </c>
      <c r="G217" s="1">
        <v>7</v>
      </c>
      <c r="H217" s="1">
        <v>39421</v>
      </c>
      <c r="I217" s="1">
        <v>275947</v>
      </c>
      <c r="J217" s="1">
        <v>49156</v>
      </c>
      <c r="K217" s="1">
        <v>226791</v>
      </c>
      <c r="L217" s="1">
        <v>226791</v>
      </c>
      <c r="M217" s="1" t="s">
        <v>66</v>
      </c>
      <c r="N217" s="1" t="s">
        <v>25</v>
      </c>
      <c r="O217" s="1" t="s">
        <v>26</v>
      </c>
      <c r="P217" s="1" t="s">
        <v>27</v>
      </c>
      <c r="Q217" s="1">
        <v>2023</v>
      </c>
      <c r="R217" s="1">
        <v>12</v>
      </c>
      <c r="S217" s="1" t="s">
        <v>28</v>
      </c>
    </row>
    <row r="218" spans="1:19" x14ac:dyDescent="0.35">
      <c r="A218" s="1" t="s">
        <v>633</v>
      </c>
      <c r="B218" s="2">
        <v>44052</v>
      </c>
      <c r="C218" s="1" t="s">
        <v>634</v>
      </c>
      <c r="D218" s="1" t="s">
        <v>635</v>
      </c>
      <c r="E218" s="1" t="s">
        <v>106</v>
      </c>
      <c r="F218" s="1" t="s">
        <v>107</v>
      </c>
      <c r="G218" s="1">
        <v>27</v>
      </c>
      <c r="H218" s="1">
        <v>52698</v>
      </c>
      <c r="I218" s="1">
        <v>1422846</v>
      </c>
      <c r="J218" s="1">
        <v>145318</v>
      </c>
      <c r="K218" s="1">
        <v>1277528</v>
      </c>
      <c r="L218" s="1">
        <v>1277528</v>
      </c>
      <c r="M218" s="1" t="s">
        <v>47</v>
      </c>
      <c r="N218" s="1" t="s">
        <v>54</v>
      </c>
      <c r="O218" s="1" t="s">
        <v>67</v>
      </c>
      <c r="P218" s="1" t="s">
        <v>27</v>
      </c>
      <c r="Q218" s="1">
        <v>2020</v>
      </c>
      <c r="R218" s="1">
        <v>8</v>
      </c>
      <c r="S218" s="1" t="s">
        <v>56</v>
      </c>
    </row>
    <row r="219" spans="1:19" x14ac:dyDescent="0.35">
      <c r="A219" s="1" t="s">
        <v>636</v>
      </c>
      <c r="B219" s="2">
        <v>45636</v>
      </c>
      <c r="C219" s="1" t="s">
        <v>613</v>
      </c>
      <c r="D219" s="1" t="s">
        <v>447</v>
      </c>
      <c r="E219" s="1" t="s">
        <v>60</v>
      </c>
      <c r="F219" s="1" t="s">
        <v>46</v>
      </c>
      <c r="G219" s="1">
        <v>2</v>
      </c>
      <c r="H219" s="1">
        <v>42295</v>
      </c>
      <c r="I219" s="1">
        <v>84590</v>
      </c>
      <c r="J219" s="1">
        <v>14649</v>
      </c>
      <c r="K219" s="1">
        <v>69941</v>
      </c>
      <c r="L219" s="1">
        <v>69941</v>
      </c>
      <c r="M219" s="1" t="s">
        <v>24</v>
      </c>
      <c r="N219" s="1" t="s">
        <v>61</v>
      </c>
      <c r="O219" s="1" t="s">
        <v>62</v>
      </c>
      <c r="P219" s="1" t="s">
        <v>27</v>
      </c>
      <c r="Q219" s="1">
        <v>2024</v>
      </c>
      <c r="R219" s="1">
        <v>12</v>
      </c>
      <c r="S219" s="1" t="s">
        <v>28</v>
      </c>
    </row>
    <row r="220" spans="1:19" x14ac:dyDescent="0.35">
      <c r="A220" s="1" t="s">
        <v>637</v>
      </c>
      <c r="B220" s="2">
        <v>44465</v>
      </c>
      <c r="C220" s="1" t="s">
        <v>638</v>
      </c>
      <c r="D220" s="1" t="s">
        <v>639</v>
      </c>
      <c r="E220" s="1" t="s">
        <v>124</v>
      </c>
      <c r="F220" s="1" t="s">
        <v>107</v>
      </c>
      <c r="G220" s="1">
        <v>27</v>
      </c>
      <c r="H220" s="1">
        <v>47712</v>
      </c>
      <c r="I220" s="1">
        <v>1288224</v>
      </c>
      <c r="J220" s="1">
        <v>133878</v>
      </c>
      <c r="K220" s="1">
        <v>1154346</v>
      </c>
      <c r="L220" s="1">
        <v>1154346</v>
      </c>
      <c r="M220" s="1" t="s">
        <v>47</v>
      </c>
      <c r="N220" s="1" t="s">
        <v>25</v>
      </c>
      <c r="O220" s="1" t="s">
        <v>80</v>
      </c>
      <c r="P220" s="1" t="s">
        <v>27</v>
      </c>
      <c r="Q220" s="1">
        <v>2021</v>
      </c>
      <c r="R220" s="1">
        <v>9</v>
      </c>
      <c r="S220" s="1" t="s">
        <v>56</v>
      </c>
    </row>
    <row r="221" spans="1:19" x14ac:dyDescent="0.35">
      <c r="A221" s="1" t="s">
        <v>640</v>
      </c>
      <c r="B221" s="2">
        <v>44849</v>
      </c>
      <c r="C221" s="1" t="s">
        <v>641</v>
      </c>
      <c r="D221" s="1" t="s">
        <v>642</v>
      </c>
      <c r="E221" s="1" t="s">
        <v>22</v>
      </c>
      <c r="F221" s="1" t="s">
        <v>23</v>
      </c>
      <c r="G221" s="1">
        <v>15</v>
      </c>
      <c r="H221" s="1">
        <v>21350</v>
      </c>
      <c r="I221" s="1">
        <v>320250</v>
      </c>
      <c r="J221" s="1">
        <v>33279</v>
      </c>
      <c r="K221" s="1">
        <v>286971</v>
      </c>
      <c r="L221" s="1">
        <v>286971</v>
      </c>
      <c r="M221" s="1" t="s">
        <v>66</v>
      </c>
      <c r="N221" s="1" t="s">
        <v>40</v>
      </c>
      <c r="O221" s="1" t="s">
        <v>125</v>
      </c>
      <c r="P221" s="1" t="s">
        <v>27</v>
      </c>
      <c r="Q221" s="1">
        <v>2022</v>
      </c>
      <c r="R221" s="1">
        <v>10</v>
      </c>
      <c r="S221" s="1" t="s">
        <v>28</v>
      </c>
    </row>
    <row r="222" spans="1:19" x14ac:dyDescent="0.35">
      <c r="A222" s="1" t="s">
        <v>643</v>
      </c>
      <c r="B222" s="2">
        <v>44120</v>
      </c>
      <c r="C222" s="1" t="s">
        <v>644</v>
      </c>
      <c r="D222" s="1" t="s">
        <v>645</v>
      </c>
      <c r="E222" s="1" t="s">
        <v>60</v>
      </c>
      <c r="F222" s="1" t="s">
        <v>46</v>
      </c>
      <c r="G222" s="1">
        <v>24</v>
      </c>
      <c r="H222" s="1">
        <v>33948</v>
      </c>
      <c r="I222" s="1">
        <v>814752</v>
      </c>
      <c r="J222" s="1">
        <v>72932</v>
      </c>
      <c r="K222" s="1">
        <v>741820</v>
      </c>
      <c r="L222" s="1">
        <v>741820</v>
      </c>
      <c r="M222" s="1" t="s">
        <v>39</v>
      </c>
      <c r="N222" s="1" t="s">
        <v>101</v>
      </c>
      <c r="O222" s="1" t="s">
        <v>102</v>
      </c>
      <c r="P222" s="1" t="s">
        <v>27</v>
      </c>
      <c r="Q222" s="1">
        <v>2020</v>
      </c>
      <c r="R222" s="1">
        <v>10</v>
      </c>
      <c r="S222" s="1" t="s">
        <v>28</v>
      </c>
    </row>
    <row r="223" spans="1:19" x14ac:dyDescent="0.35">
      <c r="A223" s="1" t="s">
        <v>646</v>
      </c>
      <c r="B223" s="2">
        <v>43870</v>
      </c>
      <c r="C223" s="1" t="s">
        <v>647</v>
      </c>
      <c r="D223" s="1" t="s">
        <v>648</v>
      </c>
      <c r="E223" s="1" t="s">
        <v>124</v>
      </c>
      <c r="F223" s="1" t="s">
        <v>107</v>
      </c>
      <c r="G223" s="1">
        <v>5</v>
      </c>
      <c r="H223" s="1">
        <v>47992</v>
      </c>
      <c r="I223" s="1">
        <v>239960</v>
      </c>
      <c r="J223" s="1">
        <v>28816</v>
      </c>
      <c r="K223" s="1">
        <v>211144</v>
      </c>
      <c r="L223" s="1">
        <v>211144</v>
      </c>
      <c r="M223" s="1" t="s">
        <v>47</v>
      </c>
      <c r="N223" s="1" t="s">
        <v>101</v>
      </c>
      <c r="O223" s="1" t="s">
        <v>108</v>
      </c>
      <c r="P223" s="1" t="s">
        <v>27</v>
      </c>
      <c r="Q223" s="1">
        <v>2020</v>
      </c>
      <c r="R223" s="1">
        <v>2</v>
      </c>
      <c r="S223" s="1" t="s">
        <v>68</v>
      </c>
    </row>
    <row r="224" spans="1:19" x14ac:dyDescent="0.35">
      <c r="A224" s="1" t="s">
        <v>649</v>
      </c>
      <c r="B224" s="2">
        <v>43526</v>
      </c>
      <c r="C224" s="1" t="s">
        <v>631</v>
      </c>
      <c r="D224" s="1" t="s">
        <v>650</v>
      </c>
      <c r="E224" s="1" t="s">
        <v>79</v>
      </c>
      <c r="F224" s="1" t="s">
        <v>23</v>
      </c>
      <c r="G224" s="1">
        <v>11</v>
      </c>
      <c r="H224" s="1">
        <v>35624</v>
      </c>
      <c r="I224" s="1">
        <v>391864</v>
      </c>
      <c r="J224" s="1">
        <v>18614</v>
      </c>
      <c r="K224" s="1">
        <v>373250</v>
      </c>
      <c r="L224" s="1">
        <v>373250</v>
      </c>
      <c r="M224" s="1" t="s">
        <v>24</v>
      </c>
      <c r="N224" s="1" t="s">
        <v>25</v>
      </c>
      <c r="O224" s="1" t="s">
        <v>80</v>
      </c>
      <c r="P224" s="1" t="s">
        <v>27</v>
      </c>
      <c r="Q224" s="1">
        <v>2019</v>
      </c>
      <c r="R224" s="1">
        <v>3</v>
      </c>
      <c r="S224" s="1" t="s">
        <v>68</v>
      </c>
    </row>
    <row r="225" spans="1:19" x14ac:dyDescent="0.35">
      <c r="A225" s="1" t="s">
        <v>651</v>
      </c>
      <c r="B225" s="2">
        <v>44821</v>
      </c>
      <c r="C225" s="1" t="s">
        <v>652</v>
      </c>
      <c r="D225" s="1" t="s">
        <v>653</v>
      </c>
      <c r="E225" s="1" t="s">
        <v>79</v>
      </c>
      <c r="F225" s="1" t="s">
        <v>23</v>
      </c>
      <c r="G225" s="1">
        <v>30</v>
      </c>
      <c r="H225" s="1">
        <v>48463</v>
      </c>
      <c r="I225" s="1">
        <v>1453890</v>
      </c>
      <c r="J225" s="1">
        <v>82396</v>
      </c>
      <c r="K225" s="1">
        <v>1371494</v>
      </c>
      <c r="L225" s="1">
        <v>1371494</v>
      </c>
      <c r="M225" s="1" t="s">
        <v>66</v>
      </c>
      <c r="N225" s="1" t="s">
        <v>48</v>
      </c>
      <c r="O225" s="1" t="s">
        <v>49</v>
      </c>
      <c r="P225" s="1" t="s">
        <v>27</v>
      </c>
      <c r="Q225" s="1">
        <v>2022</v>
      </c>
      <c r="R225" s="1">
        <v>9</v>
      </c>
      <c r="S225" s="1" t="s">
        <v>56</v>
      </c>
    </row>
    <row r="226" spans="1:19" x14ac:dyDescent="0.35">
      <c r="A226" s="1" t="s">
        <v>654</v>
      </c>
      <c r="B226" s="2">
        <v>45097</v>
      </c>
      <c r="C226" s="1" t="s">
        <v>655</v>
      </c>
      <c r="D226" s="1" t="s">
        <v>656</v>
      </c>
      <c r="E226" s="1" t="s">
        <v>124</v>
      </c>
      <c r="F226" s="1" t="s">
        <v>107</v>
      </c>
      <c r="G226" s="1">
        <v>26</v>
      </c>
      <c r="H226" s="1">
        <v>39828</v>
      </c>
      <c r="I226" s="1">
        <v>1035528</v>
      </c>
      <c r="J226" s="1">
        <v>48466</v>
      </c>
      <c r="K226" s="1">
        <v>987062</v>
      </c>
      <c r="L226" s="1">
        <v>987062</v>
      </c>
      <c r="M226" s="1" t="s">
        <v>34</v>
      </c>
      <c r="N226" s="1" t="s">
        <v>40</v>
      </c>
      <c r="O226" s="1" t="s">
        <v>41</v>
      </c>
      <c r="P226" s="1" t="s">
        <v>27</v>
      </c>
      <c r="Q226" s="1">
        <v>2023</v>
      </c>
      <c r="R226" s="1">
        <v>6</v>
      </c>
      <c r="S226" s="1" t="s">
        <v>35</v>
      </c>
    </row>
    <row r="227" spans="1:19" x14ac:dyDescent="0.35">
      <c r="A227" s="1" t="s">
        <v>657</v>
      </c>
      <c r="B227" s="2">
        <v>43812</v>
      </c>
      <c r="C227" s="1" t="s">
        <v>110</v>
      </c>
      <c r="D227" s="1" t="s">
        <v>658</v>
      </c>
      <c r="E227" s="1" t="s">
        <v>22</v>
      </c>
      <c r="F227" s="1" t="s">
        <v>23</v>
      </c>
      <c r="G227" s="1">
        <v>6</v>
      </c>
      <c r="H227" s="1">
        <v>30811</v>
      </c>
      <c r="I227" s="1">
        <v>184866</v>
      </c>
      <c r="J227" s="1">
        <v>17736</v>
      </c>
      <c r="K227" s="1">
        <v>167130</v>
      </c>
      <c r="L227" s="1">
        <v>167130</v>
      </c>
      <c r="M227" s="1" t="s">
        <v>84</v>
      </c>
      <c r="N227" s="1" t="s">
        <v>54</v>
      </c>
      <c r="O227" s="1" t="s">
        <v>55</v>
      </c>
      <c r="P227" s="1" t="s">
        <v>27</v>
      </c>
      <c r="Q227" s="1">
        <v>2019</v>
      </c>
      <c r="R227" s="1">
        <v>12</v>
      </c>
      <c r="S227" s="1" t="s">
        <v>28</v>
      </c>
    </row>
    <row r="228" spans="1:19" x14ac:dyDescent="0.35">
      <c r="A228" s="1" t="s">
        <v>659</v>
      </c>
      <c r="B228" s="2">
        <v>43747</v>
      </c>
      <c r="C228" s="1" t="s">
        <v>77</v>
      </c>
      <c r="D228" s="1" t="s">
        <v>660</v>
      </c>
      <c r="E228" s="1" t="s">
        <v>79</v>
      </c>
      <c r="F228" s="1" t="s">
        <v>23</v>
      </c>
      <c r="G228" s="1">
        <v>28</v>
      </c>
      <c r="H228" s="1">
        <v>25490</v>
      </c>
      <c r="I228" s="1">
        <v>713720</v>
      </c>
      <c r="J228" s="1">
        <v>123235</v>
      </c>
      <c r="K228" s="1">
        <v>590485</v>
      </c>
      <c r="L228" s="1">
        <v>590485</v>
      </c>
      <c r="M228" s="1" t="s">
        <v>34</v>
      </c>
      <c r="N228" s="1" t="s">
        <v>61</v>
      </c>
      <c r="O228" s="1" t="s">
        <v>88</v>
      </c>
      <c r="P228" s="1" t="s">
        <v>27</v>
      </c>
      <c r="Q228" s="1">
        <v>2019</v>
      </c>
      <c r="R228" s="1">
        <v>10</v>
      </c>
      <c r="S228" s="1" t="s">
        <v>28</v>
      </c>
    </row>
    <row r="229" spans="1:19" x14ac:dyDescent="0.35">
      <c r="A229" s="1" t="s">
        <v>661</v>
      </c>
      <c r="B229" s="2">
        <v>43925</v>
      </c>
      <c r="C229" s="1" t="s">
        <v>662</v>
      </c>
      <c r="D229" s="1" t="s">
        <v>663</v>
      </c>
      <c r="E229" s="1" t="s">
        <v>124</v>
      </c>
      <c r="F229" s="1" t="s">
        <v>107</v>
      </c>
      <c r="G229" s="1">
        <v>23</v>
      </c>
      <c r="H229" s="1">
        <v>4880</v>
      </c>
      <c r="I229" s="1">
        <v>112240</v>
      </c>
      <c r="J229" s="1">
        <v>8450</v>
      </c>
      <c r="K229" s="1">
        <v>103790</v>
      </c>
      <c r="L229" s="1">
        <v>103790</v>
      </c>
      <c r="M229" s="1" t="s">
        <v>39</v>
      </c>
      <c r="N229" s="1" t="s">
        <v>25</v>
      </c>
      <c r="O229" s="1" t="s">
        <v>80</v>
      </c>
      <c r="P229" s="1" t="s">
        <v>27</v>
      </c>
      <c r="Q229" s="1">
        <v>2020</v>
      </c>
      <c r="R229" s="1">
        <v>4</v>
      </c>
      <c r="S229" s="1" t="s">
        <v>35</v>
      </c>
    </row>
    <row r="230" spans="1:19" x14ac:dyDescent="0.35">
      <c r="A230" s="1" t="s">
        <v>664</v>
      </c>
      <c r="B230" s="2">
        <v>45665</v>
      </c>
      <c r="C230" s="1" t="s">
        <v>665</v>
      </c>
      <c r="D230" s="1" t="s">
        <v>666</v>
      </c>
      <c r="E230" s="1" t="s">
        <v>79</v>
      </c>
      <c r="F230" s="1" t="s">
        <v>23</v>
      </c>
      <c r="G230" s="1">
        <v>1</v>
      </c>
      <c r="H230" s="1">
        <v>25891</v>
      </c>
      <c r="I230" s="1">
        <v>25891</v>
      </c>
      <c r="J230" s="1">
        <v>2812</v>
      </c>
      <c r="K230" s="1">
        <v>23079</v>
      </c>
      <c r="L230" s="1">
        <v>23079</v>
      </c>
      <c r="M230" s="1" t="s">
        <v>24</v>
      </c>
      <c r="N230" s="1" t="s">
        <v>54</v>
      </c>
      <c r="O230" s="1" t="s">
        <v>67</v>
      </c>
      <c r="P230" s="1" t="s">
        <v>27</v>
      </c>
      <c r="Q230" s="1">
        <v>2025</v>
      </c>
      <c r="R230" s="1">
        <v>1</v>
      </c>
      <c r="S230" s="1" t="s">
        <v>68</v>
      </c>
    </row>
    <row r="231" spans="1:19" x14ac:dyDescent="0.35">
      <c r="A231" s="1" t="s">
        <v>667</v>
      </c>
      <c r="B231" s="2">
        <v>44476</v>
      </c>
      <c r="C231" s="1" t="s">
        <v>668</v>
      </c>
      <c r="D231" s="1" t="s">
        <v>669</v>
      </c>
      <c r="E231" s="1" t="s">
        <v>32</v>
      </c>
      <c r="F231" s="1" t="s">
        <v>33</v>
      </c>
      <c r="G231" s="1">
        <v>2</v>
      </c>
      <c r="H231" s="1">
        <v>49216</v>
      </c>
      <c r="I231" s="1">
        <v>98432</v>
      </c>
      <c r="J231" s="1">
        <v>13959</v>
      </c>
      <c r="K231" s="1">
        <v>84473</v>
      </c>
      <c r="L231" s="1">
        <v>84473</v>
      </c>
      <c r="M231" s="1" t="s">
        <v>47</v>
      </c>
      <c r="N231" s="1" t="s">
        <v>40</v>
      </c>
      <c r="O231" s="1" t="s">
        <v>41</v>
      </c>
      <c r="P231" s="1" t="s">
        <v>27</v>
      </c>
      <c r="Q231" s="1">
        <v>2021</v>
      </c>
      <c r="R231" s="1">
        <v>10</v>
      </c>
      <c r="S231" s="1" t="s">
        <v>28</v>
      </c>
    </row>
    <row r="232" spans="1:19" x14ac:dyDescent="0.35">
      <c r="A232" s="1" t="s">
        <v>670</v>
      </c>
      <c r="B232" s="2">
        <v>43500</v>
      </c>
      <c r="C232" s="1" t="s">
        <v>500</v>
      </c>
      <c r="D232" s="1" t="s">
        <v>671</v>
      </c>
      <c r="E232" s="1" t="s">
        <v>32</v>
      </c>
      <c r="F232" s="1" t="s">
        <v>33</v>
      </c>
      <c r="G232" s="1">
        <v>4</v>
      </c>
      <c r="H232" s="1">
        <v>58097</v>
      </c>
      <c r="I232" s="1">
        <v>232388</v>
      </c>
      <c r="J232" s="1">
        <v>45407</v>
      </c>
      <c r="K232" s="1">
        <v>186981</v>
      </c>
      <c r="L232" s="1">
        <v>186981</v>
      </c>
      <c r="M232" s="1" t="s">
        <v>47</v>
      </c>
      <c r="N232" s="1" t="s">
        <v>25</v>
      </c>
      <c r="O232" s="1" t="s">
        <v>26</v>
      </c>
      <c r="P232" s="1" t="s">
        <v>27</v>
      </c>
      <c r="Q232" s="1">
        <v>2019</v>
      </c>
      <c r="R232" s="1">
        <v>2</v>
      </c>
      <c r="S232" s="1" t="s">
        <v>68</v>
      </c>
    </row>
    <row r="233" spans="1:19" x14ac:dyDescent="0.35">
      <c r="A233" s="1" t="s">
        <v>672</v>
      </c>
      <c r="B233" s="2">
        <v>44118</v>
      </c>
      <c r="C233" s="1" t="s">
        <v>673</v>
      </c>
      <c r="D233" s="1" t="s">
        <v>674</v>
      </c>
      <c r="E233" s="1" t="s">
        <v>60</v>
      </c>
      <c r="F233" s="1" t="s">
        <v>46</v>
      </c>
      <c r="G233" s="1">
        <v>18</v>
      </c>
      <c r="H233" s="1">
        <v>42460</v>
      </c>
      <c r="I233" s="1">
        <v>764280</v>
      </c>
      <c r="J233" s="1">
        <v>100906</v>
      </c>
      <c r="K233" s="1">
        <v>663374</v>
      </c>
      <c r="L233" s="1">
        <v>663374</v>
      </c>
      <c r="M233" s="1" t="s">
        <v>39</v>
      </c>
      <c r="N233" s="1" t="s">
        <v>48</v>
      </c>
      <c r="O233" s="1" t="s">
        <v>49</v>
      </c>
      <c r="P233" s="1" t="s">
        <v>27</v>
      </c>
      <c r="Q233" s="1">
        <v>2020</v>
      </c>
      <c r="R233" s="1">
        <v>10</v>
      </c>
      <c r="S233" s="1" t="s">
        <v>28</v>
      </c>
    </row>
    <row r="234" spans="1:19" x14ac:dyDescent="0.35">
      <c r="A234" s="1" t="s">
        <v>675</v>
      </c>
      <c r="B234" s="2">
        <v>45572</v>
      </c>
      <c r="C234" s="1" t="s">
        <v>676</v>
      </c>
      <c r="D234" s="1" t="s">
        <v>677</v>
      </c>
      <c r="E234" s="1" t="s">
        <v>106</v>
      </c>
      <c r="F234" s="1" t="s">
        <v>107</v>
      </c>
      <c r="G234" s="1">
        <v>17</v>
      </c>
      <c r="H234" s="1">
        <v>40238</v>
      </c>
      <c r="I234" s="1">
        <v>684046</v>
      </c>
      <c r="J234" s="1">
        <v>125907</v>
      </c>
      <c r="K234" s="1">
        <v>558139</v>
      </c>
      <c r="L234" s="1">
        <v>558139</v>
      </c>
      <c r="M234" s="1" t="s">
        <v>34</v>
      </c>
      <c r="N234" s="1" t="s">
        <v>40</v>
      </c>
      <c r="O234" s="1" t="s">
        <v>41</v>
      </c>
      <c r="P234" s="1" t="s">
        <v>27</v>
      </c>
      <c r="Q234" s="1">
        <v>2024</v>
      </c>
      <c r="R234" s="1">
        <v>10</v>
      </c>
      <c r="S234" s="1" t="s">
        <v>28</v>
      </c>
    </row>
    <row r="235" spans="1:19" x14ac:dyDescent="0.35">
      <c r="A235" s="1" t="s">
        <v>678</v>
      </c>
      <c r="B235" s="2">
        <v>44742</v>
      </c>
      <c r="C235" s="1" t="s">
        <v>227</v>
      </c>
      <c r="D235" s="1" t="s">
        <v>31</v>
      </c>
      <c r="E235" s="1" t="s">
        <v>79</v>
      </c>
      <c r="F235" s="1" t="s">
        <v>23</v>
      </c>
      <c r="G235" s="1">
        <v>17</v>
      </c>
      <c r="H235" s="1">
        <v>11273</v>
      </c>
      <c r="I235" s="1">
        <v>191641</v>
      </c>
      <c r="J235" s="1">
        <v>15626</v>
      </c>
      <c r="K235" s="1">
        <v>176015</v>
      </c>
      <c r="L235" s="1">
        <v>176015</v>
      </c>
      <c r="M235" s="1" t="s">
        <v>39</v>
      </c>
      <c r="N235" s="1" t="s">
        <v>54</v>
      </c>
      <c r="O235" s="1" t="s">
        <v>67</v>
      </c>
      <c r="P235" s="1" t="s">
        <v>27</v>
      </c>
      <c r="Q235" s="1">
        <v>2022</v>
      </c>
      <c r="R235" s="1">
        <v>6</v>
      </c>
      <c r="S235" s="1" t="s">
        <v>35</v>
      </c>
    </row>
    <row r="236" spans="1:19" x14ac:dyDescent="0.35">
      <c r="A236" s="1" t="s">
        <v>679</v>
      </c>
      <c r="B236" s="2">
        <v>44879</v>
      </c>
      <c r="C236" s="1" t="s">
        <v>680</v>
      </c>
      <c r="D236" s="1" t="s">
        <v>341</v>
      </c>
      <c r="E236" s="1" t="s">
        <v>45</v>
      </c>
      <c r="F236" s="1" t="s">
        <v>46</v>
      </c>
      <c r="G236" s="1">
        <v>3</v>
      </c>
      <c r="H236" s="1">
        <v>9030</v>
      </c>
      <c r="I236" s="1">
        <v>27090</v>
      </c>
      <c r="J236" s="1">
        <v>5115</v>
      </c>
      <c r="K236" s="1">
        <v>21975</v>
      </c>
      <c r="L236" s="1">
        <v>21975</v>
      </c>
      <c r="M236" s="1" t="s">
        <v>66</v>
      </c>
      <c r="N236" s="1" t="s">
        <v>54</v>
      </c>
      <c r="O236" s="1" t="s">
        <v>67</v>
      </c>
      <c r="P236" s="1" t="s">
        <v>27</v>
      </c>
      <c r="Q236" s="1">
        <v>2022</v>
      </c>
      <c r="R236" s="1">
        <v>11</v>
      </c>
      <c r="S236" s="1" t="s">
        <v>28</v>
      </c>
    </row>
    <row r="237" spans="1:19" x14ac:dyDescent="0.35">
      <c r="A237" s="1" t="s">
        <v>681</v>
      </c>
      <c r="B237" s="2">
        <v>43800</v>
      </c>
      <c r="C237" s="1" t="s">
        <v>245</v>
      </c>
      <c r="D237" s="1" t="s">
        <v>184</v>
      </c>
      <c r="E237" s="1" t="s">
        <v>124</v>
      </c>
      <c r="F237" s="1" t="s">
        <v>107</v>
      </c>
      <c r="G237" s="1">
        <v>7</v>
      </c>
      <c r="H237" s="1">
        <v>6952</v>
      </c>
      <c r="I237" s="1">
        <v>48664</v>
      </c>
      <c r="J237" s="1">
        <v>2309</v>
      </c>
      <c r="K237" s="1">
        <v>46355</v>
      </c>
      <c r="L237" s="1">
        <v>46355</v>
      </c>
      <c r="M237" s="1" t="s">
        <v>34</v>
      </c>
      <c r="N237" s="1" t="s">
        <v>61</v>
      </c>
      <c r="O237" s="1" t="s">
        <v>62</v>
      </c>
      <c r="P237" s="1" t="s">
        <v>27</v>
      </c>
      <c r="Q237" s="1">
        <v>2019</v>
      </c>
      <c r="R237" s="1">
        <v>12</v>
      </c>
      <c r="S237" s="1" t="s">
        <v>28</v>
      </c>
    </row>
    <row r="238" spans="1:19" x14ac:dyDescent="0.35">
      <c r="A238" s="1" t="s">
        <v>682</v>
      </c>
      <c r="B238" s="2">
        <v>43898</v>
      </c>
      <c r="C238" s="1" t="s">
        <v>683</v>
      </c>
      <c r="D238" s="1" t="s">
        <v>684</v>
      </c>
      <c r="E238" s="1" t="s">
        <v>106</v>
      </c>
      <c r="F238" s="1" t="s">
        <v>107</v>
      </c>
      <c r="G238" s="1">
        <v>1</v>
      </c>
      <c r="H238" s="1">
        <v>7927</v>
      </c>
      <c r="I238" s="1">
        <v>7927</v>
      </c>
      <c r="J238" s="1">
        <v>1433</v>
      </c>
      <c r="K238" s="1">
        <v>6494</v>
      </c>
      <c r="L238" s="1">
        <v>6494</v>
      </c>
      <c r="M238" s="1" t="s">
        <v>34</v>
      </c>
      <c r="N238" s="1" t="s">
        <v>61</v>
      </c>
      <c r="O238" s="1" t="s">
        <v>88</v>
      </c>
      <c r="P238" s="1" t="s">
        <v>27</v>
      </c>
      <c r="Q238" s="1">
        <v>2020</v>
      </c>
      <c r="R238" s="1">
        <v>3</v>
      </c>
      <c r="S238" s="1" t="s">
        <v>68</v>
      </c>
    </row>
    <row r="239" spans="1:19" x14ac:dyDescent="0.35">
      <c r="A239" s="1" t="s">
        <v>685</v>
      </c>
      <c r="B239" s="2">
        <v>44670</v>
      </c>
      <c r="C239" s="1" t="s">
        <v>686</v>
      </c>
      <c r="D239" s="1" t="s">
        <v>528</v>
      </c>
      <c r="E239" s="1" t="s">
        <v>60</v>
      </c>
      <c r="F239" s="1" t="s">
        <v>46</v>
      </c>
      <c r="G239" s="1">
        <v>30</v>
      </c>
      <c r="H239" s="1">
        <v>2385</v>
      </c>
      <c r="I239" s="1">
        <v>71550</v>
      </c>
      <c r="J239" s="1">
        <v>2816</v>
      </c>
      <c r="K239" s="1">
        <v>68734</v>
      </c>
      <c r="L239" s="1">
        <v>68734</v>
      </c>
      <c r="M239" s="1" t="s">
        <v>24</v>
      </c>
      <c r="N239" s="1" t="s">
        <v>40</v>
      </c>
      <c r="O239" s="1" t="s">
        <v>41</v>
      </c>
      <c r="P239" s="1" t="s">
        <v>27</v>
      </c>
      <c r="Q239" s="1">
        <v>2022</v>
      </c>
      <c r="R239" s="1">
        <v>4</v>
      </c>
      <c r="S239" s="1" t="s">
        <v>35</v>
      </c>
    </row>
    <row r="240" spans="1:19" x14ac:dyDescent="0.35">
      <c r="A240" s="1" t="s">
        <v>687</v>
      </c>
      <c r="B240" s="2">
        <v>45314</v>
      </c>
      <c r="C240" s="1" t="s">
        <v>483</v>
      </c>
      <c r="D240" s="1" t="s">
        <v>87</v>
      </c>
      <c r="E240" s="1" t="s">
        <v>45</v>
      </c>
      <c r="F240" s="1" t="s">
        <v>46</v>
      </c>
      <c r="G240" s="1">
        <v>27</v>
      </c>
      <c r="H240" s="1">
        <v>52839</v>
      </c>
      <c r="I240" s="1">
        <v>1426653</v>
      </c>
      <c r="J240" s="1">
        <v>134877</v>
      </c>
      <c r="K240" s="1">
        <v>1291776</v>
      </c>
      <c r="L240" s="1">
        <v>1291776</v>
      </c>
      <c r="M240" s="1" t="s">
        <v>39</v>
      </c>
      <c r="N240" s="1" t="s">
        <v>61</v>
      </c>
      <c r="O240" s="1" t="s">
        <v>88</v>
      </c>
      <c r="P240" s="1" t="s">
        <v>27</v>
      </c>
      <c r="Q240" s="1">
        <v>2024</v>
      </c>
      <c r="R240" s="1">
        <v>1</v>
      </c>
      <c r="S240" s="1" t="s">
        <v>68</v>
      </c>
    </row>
    <row r="241" spans="1:19" x14ac:dyDescent="0.35">
      <c r="A241" s="1" t="s">
        <v>688</v>
      </c>
      <c r="B241" s="2">
        <v>45420</v>
      </c>
      <c r="C241" s="1" t="s">
        <v>43</v>
      </c>
      <c r="D241" s="1" t="s">
        <v>689</v>
      </c>
      <c r="E241" s="1" t="s">
        <v>106</v>
      </c>
      <c r="F241" s="1" t="s">
        <v>107</v>
      </c>
      <c r="G241" s="1">
        <v>28</v>
      </c>
      <c r="H241" s="1">
        <v>45399</v>
      </c>
      <c r="I241" s="1">
        <v>1271172</v>
      </c>
      <c r="J241" s="1">
        <v>110862</v>
      </c>
      <c r="K241" s="1">
        <v>1160310</v>
      </c>
      <c r="L241" s="1">
        <v>1160310</v>
      </c>
      <c r="M241" s="1" t="s">
        <v>84</v>
      </c>
      <c r="N241" s="1" t="s">
        <v>61</v>
      </c>
      <c r="O241" s="1" t="s">
        <v>62</v>
      </c>
      <c r="P241" s="1" t="s">
        <v>27</v>
      </c>
      <c r="Q241" s="1">
        <v>2024</v>
      </c>
      <c r="R241" s="1">
        <v>5</v>
      </c>
      <c r="S241" s="1" t="s">
        <v>35</v>
      </c>
    </row>
    <row r="242" spans="1:19" x14ac:dyDescent="0.35">
      <c r="A242" s="1" t="s">
        <v>690</v>
      </c>
      <c r="B242" s="2">
        <v>44896</v>
      </c>
      <c r="C242" s="1" t="s">
        <v>691</v>
      </c>
      <c r="D242" s="1" t="s">
        <v>419</v>
      </c>
      <c r="E242" s="1" t="s">
        <v>32</v>
      </c>
      <c r="F242" s="1" t="s">
        <v>33</v>
      </c>
      <c r="G242" s="1">
        <v>29</v>
      </c>
      <c r="H242" s="1">
        <v>24798</v>
      </c>
      <c r="I242" s="1">
        <v>719142</v>
      </c>
      <c r="J242" s="1">
        <v>116036</v>
      </c>
      <c r="K242" s="1">
        <v>603106</v>
      </c>
      <c r="L242" s="1">
        <v>603106</v>
      </c>
      <c r="M242" s="1" t="s">
        <v>47</v>
      </c>
      <c r="N242" s="1" t="s">
        <v>40</v>
      </c>
      <c r="O242" s="1" t="s">
        <v>75</v>
      </c>
      <c r="P242" s="1" t="s">
        <v>27</v>
      </c>
      <c r="Q242" s="1">
        <v>2022</v>
      </c>
      <c r="R242" s="1">
        <v>12</v>
      </c>
      <c r="S242" s="1" t="s">
        <v>28</v>
      </c>
    </row>
    <row r="243" spans="1:19" x14ac:dyDescent="0.35">
      <c r="A243" s="1" t="s">
        <v>692</v>
      </c>
      <c r="B243" s="2">
        <v>44742</v>
      </c>
      <c r="C243" s="1" t="s">
        <v>693</v>
      </c>
      <c r="D243" s="1" t="s">
        <v>694</v>
      </c>
      <c r="E243" s="1" t="s">
        <v>45</v>
      </c>
      <c r="F243" s="1" t="s">
        <v>46</v>
      </c>
      <c r="G243" s="1">
        <v>18</v>
      </c>
      <c r="H243" s="1">
        <v>34001</v>
      </c>
      <c r="I243" s="1">
        <v>612018</v>
      </c>
      <c r="J243" s="1">
        <v>112852</v>
      </c>
      <c r="K243" s="1">
        <v>499166</v>
      </c>
      <c r="L243" s="1">
        <v>499166</v>
      </c>
      <c r="M243" s="1" t="s">
        <v>34</v>
      </c>
      <c r="N243" s="1" t="s">
        <v>40</v>
      </c>
      <c r="O243" s="1" t="s">
        <v>41</v>
      </c>
      <c r="P243" s="1" t="s">
        <v>27</v>
      </c>
      <c r="Q243" s="1">
        <v>2022</v>
      </c>
      <c r="R243" s="1">
        <v>6</v>
      </c>
      <c r="S243" s="1" t="s">
        <v>35</v>
      </c>
    </row>
    <row r="244" spans="1:19" x14ac:dyDescent="0.35">
      <c r="A244" s="1" t="s">
        <v>695</v>
      </c>
      <c r="B244" s="2">
        <v>45418</v>
      </c>
      <c r="C244" s="1" t="s">
        <v>135</v>
      </c>
      <c r="D244" s="1" t="s">
        <v>617</v>
      </c>
      <c r="E244" s="1" t="s">
        <v>124</v>
      </c>
      <c r="F244" s="1" t="s">
        <v>107</v>
      </c>
      <c r="G244" s="1">
        <v>18</v>
      </c>
      <c r="H244" s="1">
        <v>14340</v>
      </c>
      <c r="I244" s="1">
        <v>258120</v>
      </c>
      <c r="J244" s="1">
        <v>40276</v>
      </c>
      <c r="K244" s="1">
        <v>217844</v>
      </c>
      <c r="L244" s="1">
        <v>217844</v>
      </c>
      <c r="M244" s="1" t="s">
        <v>47</v>
      </c>
      <c r="N244" s="1" t="s">
        <v>54</v>
      </c>
      <c r="O244" s="1" t="s">
        <v>67</v>
      </c>
      <c r="P244" s="1" t="s">
        <v>27</v>
      </c>
      <c r="Q244" s="1">
        <v>2024</v>
      </c>
      <c r="R244" s="1">
        <v>5</v>
      </c>
      <c r="S244" s="1" t="s">
        <v>35</v>
      </c>
    </row>
    <row r="245" spans="1:19" x14ac:dyDescent="0.35">
      <c r="A245" s="1" t="s">
        <v>696</v>
      </c>
      <c r="B245" s="2">
        <v>44199</v>
      </c>
      <c r="C245" s="1" t="s">
        <v>180</v>
      </c>
      <c r="D245" s="1" t="s">
        <v>475</v>
      </c>
      <c r="E245" s="1" t="s">
        <v>32</v>
      </c>
      <c r="F245" s="1" t="s">
        <v>33</v>
      </c>
      <c r="G245" s="1">
        <v>22</v>
      </c>
      <c r="H245" s="1">
        <v>59723</v>
      </c>
      <c r="I245" s="1">
        <v>1313906</v>
      </c>
      <c r="J245" s="1">
        <v>122052</v>
      </c>
      <c r="K245" s="1">
        <v>1191854</v>
      </c>
      <c r="L245" s="1">
        <v>1191854</v>
      </c>
      <c r="M245" s="1" t="s">
        <v>66</v>
      </c>
      <c r="N245" s="1" t="s">
        <v>61</v>
      </c>
      <c r="O245" s="1" t="s">
        <v>62</v>
      </c>
      <c r="P245" s="1" t="s">
        <v>27</v>
      </c>
      <c r="Q245" s="1">
        <v>2021</v>
      </c>
      <c r="R245" s="1">
        <v>1</v>
      </c>
      <c r="S245" s="1" t="s">
        <v>68</v>
      </c>
    </row>
    <row r="246" spans="1:19" x14ac:dyDescent="0.35">
      <c r="A246" s="1" t="s">
        <v>697</v>
      </c>
      <c r="B246" s="2">
        <v>45414</v>
      </c>
      <c r="C246" s="1" t="s">
        <v>698</v>
      </c>
      <c r="D246" s="1" t="s">
        <v>216</v>
      </c>
      <c r="E246" s="1" t="s">
        <v>45</v>
      </c>
      <c r="F246" s="1" t="s">
        <v>46</v>
      </c>
      <c r="G246" s="1">
        <v>18</v>
      </c>
      <c r="H246" s="1">
        <v>9002</v>
      </c>
      <c r="I246" s="1">
        <v>162036</v>
      </c>
      <c r="J246" s="1">
        <v>4960</v>
      </c>
      <c r="K246" s="1">
        <v>157076</v>
      </c>
      <c r="L246" s="1">
        <v>157076</v>
      </c>
      <c r="M246" s="1" t="s">
        <v>84</v>
      </c>
      <c r="N246" s="1" t="s">
        <v>48</v>
      </c>
      <c r="O246" s="1" t="s">
        <v>49</v>
      </c>
      <c r="P246" s="1" t="s">
        <v>27</v>
      </c>
      <c r="Q246" s="1">
        <v>2024</v>
      </c>
      <c r="R246" s="1">
        <v>5</v>
      </c>
      <c r="S246" s="1" t="s">
        <v>35</v>
      </c>
    </row>
    <row r="247" spans="1:19" x14ac:dyDescent="0.35">
      <c r="A247" s="1" t="s">
        <v>699</v>
      </c>
      <c r="B247" s="2">
        <v>45545</v>
      </c>
      <c r="C247" s="1" t="s">
        <v>427</v>
      </c>
      <c r="D247" s="1" t="s">
        <v>700</v>
      </c>
      <c r="E247" s="1" t="s">
        <v>22</v>
      </c>
      <c r="F247" s="1" t="s">
        <v>23</v>
      </c>
      <c r="G247" s="1">
        <v>29</v>
      </c>
      <c r="H247" s="1">
        <v>13556</v>
      </c>
      <c r="I247" s="1">
        <v>393124</v>
      </c>
      <c r="J247" s="1">
        <v>24038</v>
      </c>
      <c r="K247" s="1">
        <v>369086</v>
      </c>
      <c r="L247" s="1">
        <v>369086</v>
      </c>
      <c r="M247" s="1" t="s">
        <v>39</v>
      </c>
      <c r="N247" s="1" t="s">
        <v>54</v>
      </c>
      <c r="O247" s="1" t="s">
        <v>55</v>
      </c>
      <c r="P247" s="1" t="s">
        <v>27</v>
      </c>
      <c r="Q247" s="1">
        <v>2024</v>
      </c>
      <c r="R247" s="1">
        <v>9</v>
      </c>
      <c r="S247" s="1" t="s">
        <v>56</v>
      </c>
    </row>
    <row r="248" spans="1:19" x14ac:dyDescent="0.35">
      <c r="A248" s="1" t="s">
        <v>701</v>
      </c>
      <c r="B248" s="2">
        <v>44211</v>
      </c>
      <c r="C248" s="1" t="s">
        <v>662</v>
      </c>
      <c r="D248" s="1" t="s">
        <v>702</v>
      </c>
      <c r="E248" s="1" t="s">
        <v>22</v>
      </c>
      <c r="F248" s="1" t="s">
        <v>23</v>
      </c>
      <c r="G248" s="1">
        <v>29</v>
      </c>
      <c r="H248" s="1">
        <v>51594</v>
      </c>
      <c r="I248" s="1">
        <v>1496226</v>
      </c>
      <c r="J248" s="1">
        <v>251218</v>
      </c>
      <c r="K248" s="1">
        <v>1245008</v>
      </c>
      <c r="L248" s="1">
        <v>1245008</v>
      </c>
      <c r="M248" s="1" t="s">
        <v>24</v>
      </c>
      <c r="N248" s="1" t="s">
        <v>40</v>
      </c>
      <c r="O248" s="1" t="s">
        <v>125</v>
      </c>
      <c r="P248" s="1" t="s">
        <v>27</v>
      </c>
      <c r="Q248" s="1">
        <v>2021</v>
      </c>
      <c r="R248" s="1">
        <v>1</v>
      </c>
      <c r="S248" s="1" t="s">
        <v>68</v>
      </c>
    </row>
    <row r="249" spans="1:19" x14ac:dyDescent="0.35">
      <c r="A249" s="1" t="s">
        <v>703</v>
      </c>
      <c r="B249" s="2">
        <v>44682</v>
      </c>
      <c r="C249" s="1" t="s">
        <v>704</v>
      </c>
      <c r="D249" s="1" t="s">
        <v>705</v>
      </c>
      <c r="E249" s="1" t="s">
        <v>124</v>
      </c>
      <c r="F249" s="1" t="s">
        <v>107</v>
      </c>
      <c r="G249" s="1">
        <v>24</v>
      </c>
      <c r="H249" s="1">
        <v>40439</v>
      </c>
      <c r="I249" s="1">
        <v>970536</v>
      </c>
      <c r="J249" s="1">
        <v>192050</v>
      </c>
      <c r="K249" s="1">
        <v>778486</v>
      </c>
      <c r="L249" s="1">
        <v>778486</v>
      </c>
      <c r="M249" s="1" t="s">
        <v>24</v>
      </c>
      <c r="N249" s="1" t="s">
        <v>48</v>
      </c>
      <c r="O249" s="1" t="s">
        <v>49</v>
      </c>
      <c r="P249" s="1" t="s">
        <v>27</v>
      </c>
      <c r="Q249" s="1">
        <v>2022</v>
      </c>
      <c r="R249" s="1">
        <v>5</v>
      </c>
      <c r="S249" s="1" t="s">
        <v>35</v>
      </c>
    </row>
    <row r="250" spans="1:19" x14ac:dyDescent="0.35">
      <c r="A250" s="1" t="s">
        <v>706</v>
      </c>
      <c r="B250" s="2">
        <v>44400</v>
      </c>
      <c r="C250" s="1" t="s">
        <v>296</v>
      </c>
      <c r="D250" s="1" t="s">
        <v>707</v>
      </c>
      <c r="E250" s="1" t="s">
        <v>106</v>
      </c>
      <c r="F250" s="1" t="s">
        <v>107</v>
      </c>
      <c r="G250" s="1">
        <v>25</v>
      </c>
      <c r="H250" s="1">
        <v>8001</v>
      </c>
      <c r="I250" s="1">
        <v>200025</v>
      </c>
      <c r="J250" s="1">
        <v>22207</v>
      </c>
      <c r="K250" s="1">
        <v>177818</v>
      </c>
      <c r="L250" s="1">
        <v>177818</v>
      </c>
      <c r="M250" s="1" t="s">
        <v>84</v>
      </c>
      <c r="N250" s="1" t="s">
        <v>48</v>
      </c>
      <c r="O250" s="1" t="s">
        <v>49</v>
      </c>
      <c r="P250" s="1" t="s">
        <v>27</v>
      </c>
      <c r="Q250" s="1">
        <v>2021</v>
      </c>
      <c r="R250" s="1">
        <v>7</v>
      </c>
      <c r="S250" s="1" t="s">
        <v>56</v>
      </c>
    </row>
    <row r="251" spans="1:19" x14ac:dyDescent="0.35">
      <c r="A251" s="1" t="s">
        <v>708</v>
      </c>
      <c r="B251" s="2">
        <v>43487</v>
      </c>
      <c r="C251" s="1" t="s">
        <v>709</v>
      </c>
      <c r="D251" s="1" t="s">
        <v>428</v>
      </c>
      <c r="E251" s="1" t="s">
        <v>45</v>
      </c>
      <c r="F251" s="1" t="s">
        <v>46</v>
      </c>
      <c r="G251" s="1">
        <v>7</v>
      </c>
      <c r="H251" s="1">
        <v>29689</v>
      </c>
      <c r="I251" s="1">
        <v>207823</v>
      </c>
      <c r="J251" s="1">
        <v>19535</v>
      </c>
      <c r="K251" s="1">
        <v>188288</v>
      </c>
      <c r="L251" s="1">
        <v>188288</v>
      </c>
      <c r="M251" s="1" t="s">
        <v>39</v>
      </c>
      <c r="N251" s="1" t="s">
        <v>54</v>
      </c>
      <c r="O251" s="1" t="s">
        <v>67</v>
      </c>
      <c r="P251" s="1" t="s">
        <v>27</v>
      </c>
      <c r="Q251" s="1">
        <v>2019</v>
      </c>
      <c r="R251" s="1">
        <v>1</v>
      </c>
      <c r="S251" s="1" t="s">
        <v>68</v>
      </c>
    </row>
    <row r="252" spans="1:19" x14ac:dyDescent="0.35">
      <c r="A252" s="1" t="s">
        <v>710</v>
      </c>
      <c r="B252" s="2">
        <v>43766</v>
      </c>
      <c r="C252" s="1" t="s">
        <v>603</v>
      </c>
      <c r="D252" s="1" t="s">
        <v>711</v>
      </c>
      <c r="E252" s="1" t="s">
        <v>22</v>
      </c>
      <c r="F252" s="1" t="s">
        <v>23</v>
      </c>
      <c r="G252" s="1">
        <v>10</v>
      </c>
      <c r="H252" s="1">
        <v>38105</v>
      </c>
      <c r="I252" s="1">
        <v>381050</v>
      </c>
      <c r="J252" s="1">
        <v>25852</v>
      </c>
      <c r="K252" s="1">
        <v>355198</v>
      </c>
      <c r="L252" s="1">
        <v>355198</v>
      </c>
      <c r="M252" s="1" t="s">
        <v>66</v>
      </c>
      <c r="N252" s="1" t="s">
        <v>61</v>
      </c>
      <c r="O252" s="1" t="s">
        <v>62</v>
      </c>
      <c r="P252" s="1" t="s">
        <v>27</v>
      </c>
      <c r="Q252" s="1">
        <v>2019</v>
      </c>
      <c r="R252" s="1">
        <v>10</v>
      </c>
      <c r="S252" s="1" t="s">
        <v>28</v>
      </c>
    </row>
    <row r="253" spans="1:19" x14ac:dyDescent="0.35">
      <c r="A253" s="1" t="s">
        <v>712</v>
      </c>
      <c r="B253" s="2">
        <v>45448</v>
      </c>
      <c r="C253" s="1" t="s">
        <v>713</v>
      </c>
      <c r="D253" s="1" t="s">
        <v>557</v>
      </c>
      <c r="E253" s="1" t="s">
        <v>124</v>
      </c>
      <c r="F253" s="1" t="s">
        <v>107</v>
      </c>
      <c r="G253" s="1">
        <v>30</v>
      </c>
      <c r="H253" s="1">
        <v>4217</v>
      </c>
      <c r="I253" s="1">
        <v>126510</v>
      </c>
      <c r="J253" s="1">
        <v>9228</v>
      </c>
      <c r="K253" s="1">
        <v>117282</v>
      </c>
      <c r="L253" s="1">
        <v>117282</v>
      </c>
      <c r="M253" s="1" t="s">
        <v>34</v>
      </c>
      <c r="N253" s="1" t="s">
        <v>40</v>
      </c>
      <c r="O253" s="1" t="s">
        <v>41</v>
      </c>
      <c r="P253" s="1" t="s">
        <v>27</v>
      </c>
      <c r="Q253" s="1">
        <v>2024</v>
      </c>
      <c r="R253" s="1">
        <v>6</v>
      </c>
      <c r="S253" s="1" t="s">
        <v>35</v>
      </c>
    </row>
    <row r="254" spans="1:19" x14ac:dyDescent="0.35">
      <c r="A254" s="1" t="s">
        <v>714</v>
      </c>
      <c r="B254" s="2">
        <v>43660</v>
      </c>
      <c r="C254" s="1" t="s">
        <v>715</v>
      </c>
      <c r="D254" s="1" t="s">
        <v>455</v>
      </c>
      <c r="E254" s="1" t="s">
        <v>45</v>
      </c>
      <c r="F254" s="1" t="s">
        <v>46</v>
      </c>
      <c r="G254" s="1">
        <v>26</v>
      </c>
      <c r="H254" s="1">
        <v>54332</v>
      </c>
      <c r="I254" s="1">
        <v>1412632</v>
      </c>
      <c r="J254" s="1">
        <v>190424</v>
      </c>
      <c r="K254" s="1">
        <v>1222208</v>
      </c>
      <c r="L254" s="1">
        <v>1222208</v>
      </c>
      <c r="M254" s="1" t="s">
        <v>39</v>
      </c>
      <c r="N254" s="1" t="s">
        <v>25</v>
      </c>
      <c r="O254" s="1" t="s">
        <v>26</v>
      </c>
      <c r="P254" s="1" t="s">
        <v>27</v>
      </c>
      <c r="Q254" s="1">
        <v>2019</v>
      </c>
      <c r="R254" s="1">
        <v>7</v>
      </c>
      <c r="S254" s="1" t="s">
        <v>56</v>
      </c>
    </row>
    <row r="255" spans="1:19" x14ac:dyDescent="0.35">
      <c r="A255" s="1" t="s">
        <v>716</v>
      </c>
      <c r="B255" s="2">
        <v>44204</v>
      </c>
      <c r="C255" s="1" t="s">
        <v>717</v>
      </c>
      <c r="D255" s="1" t="s">
        <v>594</v>
      </c>
      <c r="E255" s="1" t="s">
        <v>106</v>
      </c>
      <c r="F255" s="1" t="s">
        <v>107</v>
      </c>
      <c r="G255" s="1">
        <v>15</v>
      </c>
      <c r="H255" s="1">
        <v>57636</v>
      </c>
      <c r="I255" s="1">
        <v>864540</v>
      </c>
      <c r="J255" s="1">
        <v>64419</v>
      </c>
      <c r="K255" s="1">
        <v>800121</v>
      </c>
      <c r="L255" s="1">
        <v>800121</v>
      </c>
      <c r="M255" s="1" t="s">
        <v>84</v>
      </c>
      <c r="N255" s="1" t="s">
        <v>101</v>
      </c>
      <c r="O255" s="1" t="s">
        <v>102</v>
      </c>
      <c r="P255" s="1" t="s">
        <v>27</v>
      </c>
      <c r="Q255" s="1">
        <v>2021</v>
      </c>
      <c r="R255" s="1">
        <v>1</v>
      </c>
      <c r="S255" s="1" t="s">
        <v>68</v>
      </c>
    </row>
    <row r="256" spans="1:19" x14ac:dyDescent="0.35">
      <c r="A256" s="1" t="s">
        <v>718</v>
      </c>
      <c r="B256" s="2">
        <v>43917</v>
      </c>
      <c r="C256" s="1" t="s">
        <v>719</v>
      </c>
      <c r="D256" s="1" t="s">
        <v>282</v>
      </c>
      <c r="E256" s="1" t="s">
        <v>45</v>
      </c>
      <c r="F256" s="1" t="s">
        <v>46</v>
      </c>
      <c r="G256" s="1">
        <v>16</v>
      </c>
      <c r="H256" s="1">
        <v>56665</v>
      </c>
      <c r="I256" s="1">
        <v>906640</v>
      </c>
      <c r="J256" s="1">
        <v>148996</v>
      </c>
      <c r="K256" s="1">
        <v>757644</v>
      </c>
      <c r="L256" s="1">
        <v>757644</v>
      </c>
      <c r="M256" s="1" t="s">
        <v>39</v>
      </c>
      <c r="N256" s="1" t="s">
        <v>48</v>
      </c>
      <c r="O256" s="1" t="s">
        <v>49</v>
      </c>
      <c r="P256" s="1" t="s">
        <v>27</v>
      </c>
      <c r="Q256" s="1">
        <v>2020</v>
      </c>
      <c r="R256" s="1">
        <v>3</v>
      </c>
      <c r="S256" s="1" t="s">
        <v>68</v>
      </c>
    </row>
    <row r="257" spans="1:19" x14ac:dyDescent="0.35">
      <c r="A257" s="1" t="s">
        <v>720</v>
      </c>
      <c r="B257" s="2">
        <v>43805</v>
      </c>
      <c r="C257" s="1" t="s">
        <v>721</v>
      </c>
      <c r="D257" s="1" t="s">
        <v>722</v>
      </c>
      <c r="E257" s="1" t="s">
        <v>22</v>
      </c>
      <c r="F257" s="1" t="s">
        <v>23</v>
      </c>
      <c r="G257" s="1">
        <v>6</v>
      </c>
      <c r="H257" s="1">
        <v>38093</v>
      </c>
      <c r="I257" s="1">
        <v>228558</v>
      </c>
      <c r="J257" s="1">
        <v>44770</v>
      </c>
      <c r="K257" s="1">
        <v>183788</v>
      </c>
      <c r="L257" s="1">
        <v>183788</v>
      </c>
      <c r="M257" s="1" t="s">
        <v>24</v>
      </c>
      <c r="N257" s="1" t="s">
        <v>48</v>
      </c>
      <c r="O257" s="1" t="s">
        <v>49</v>
      </c>
      <c r="P257" s="1" t="s">
        <v>27</v>
      </c>
      <c r="Q257" s="1">
        <v>2019</v>
      </c>
      <c r="R257" s="1">
        <v>12</v>
      </c>
      <c r="S257" s="1" t="s">
        <v>28</v>
      </c>
    </row>
    <row r="258" spans="1:19" x14ac:dyDescent="0.35">
      <c r="A258" s="1" t="s">
        <v>723</v>
      </c>
      <c r="B258" s="2">
        <v>44560</v>
      </c>
      <c r="C258" s="1" t="s">
        <v>724</v>
      </c>
      <c r="D258" s="1" t="s">
        <v>725</v>
      </c>
      <c r="E258" s="1" t="s">
        <v>79</v>
      </c>
      <c r="F258" s="1" t="s">
        <v>23</v>
      </c>
      <c r="G258" s="1">
        <v>20</v>
      </c>
      <c r="H258" s="1">
        <v>44765</v>
      </c>
      <c r="I258" s="1">
        <v>895300</v>
      </c>
      <c r="J258" s="1">
        <v>66839</v>
      </c>
      <c r="K258" s="1">
        <v>828461</v>
      </c>
      <c r="L258" s="1">
        <v>828461</v>
      </c>
      <c r="M258" s="1" t="s">
        <v>39</v>
      </c>
      <c r="N258" s="1" t="s">
        <v>48</v>
      </c>
      <c r="O258" s="1" t="s">
        <v>49</v>
      </c>
      <c r="P258" s="1" t="s">
        <v>27</v>
      </c>
      <c r="Q258" s="1">
        <v>2021</v>
      </c>
      <c r="R258" s="1">
        <v>12</v>
      </c>
      <c r="S258" s="1" t="s">
        <v>28</v>
      </c>
    </row>
    <row r="259" spans="1:19" x14ac:dyDescent="0.35">
      <c r="A259" s="1" t="s">
        <v>726</v>
      </c>
      <c r="B259" s="2">
        <v>45494</v>
      </c>
      <c r="C259" s="1" t="s">
        <v>727</v>
      </c>
      <c r="D259" s="1" t="s">
        <v>728</v>
      </c>
      <c r="E259" s="1" t="s">
        <v>53</v>
      </c>
      <c r="F259" s="1" t="s">
        <v>33</v>
      </c>
      <c r="G259" s="1">
        <v>6</v>
      </c>
      <c r="H259" s="1">
        <v>29029</v>
      </c>
      <c r="I259" s="1">
        <v>174174</v>
      </c>
      <c r="J259" s="1">
        <v>17174</v>
      </c>
      <c r="K259" s="1">
        <v>157000</v>
      </c>
      <c r="L259" s="1">
        <v>157000</v>
      </c>
      <c r="M259" s="1" t="s">
        <v>34</v>
      </c>
      <c r="N259" s="1" t="s">
        <v>48</v>
      </c>
      <c r="O259" s="1" t="s">
        <v>49</v>
      </c>
      <c r="P259" s="1" t="s">
        <v>27</v>
      </c>
      <c r="Q259" s="1">
        <v>2024</v>
      </c>
      <c r="R259" s="1">
        <v>7</v>
      </c>
      <c r="S259" s="1" t="s">
        <v>56</v>
      </c>
    </row>
    <row r="260" spans="1:19" x14ac:dyDescent="0.35">
      <c r="A260" s="1" t="s">
        <v>729</v>
      </c>
      <c r="B260" s="2">
        <v>43698</v>
      </c>
      <c r="C260" s="1" t="s">
        <v>724</v>
      </c>
      <c r="D260" s="1" t="s">
        <v>730</v>
      </c>
      <c r="E260" s="1" t="s">
        <v>60</v>
      </c>
      <c r="F260" s="1" t="s">
        <v>46</v>
      </c>
      <c r="G260" s="1">
        <v>26</v>
      </c>
      <c r="H260" s="1">
        <v>2301</v>
      </c>
      <c r="I260" s="1">
        <v>59826</v>
      </c>
      <c r="J260" s="1">
        <v>7396</v>
      </c>
      <c r="K260" s="1">
        <v>52430</v>
      </c>
      <c r="L260" s="1">
        <v>52430</v>
      </c>
      <c r="M260" s="1" t="s">
        <v>34</v>
      </c>
      <c r="N260" s="1" t="s">
        <v>40</v>
      </c>
      <c r="O260" s="1" t="s">
        <v>41</v>
      </c>
      <c r="P260" s="1" t="s">
        <v>27</v>
      </c>
      <c r="Q260" s="1">
        <v>2019</v>
      </c>
      <c r="R260" s="1">
        <v>8</v>
      </c>
      <c r="S260" s="1" t="s">
        <v>56</v>
      </c>
    </row>
    <row r="261" spans="1:19" x14ac:dyDescent="0.35">
      <c r="A261" s="1" t="s">
        <v>731</v>
      </c>
      <c r="B261" s="2">
        <v>44417</v>
      </c>
      <c r="C261" s="1" t="s">
        <v>732</v>
      </c>
      <c r="D261" s="1" t="s">
        <v>733</v>
      </c>
      <c r="E261" s="1" t="s">
        <v>45</v>
      </c>
      <c r="F261" s="1" t="s">
        <v>46</v>
      </c>
      <c r="G261" s="1">
        <v>26</v>
      </c>
      <c r="H261" s="1">
        <v>51079</v>
      </c>
      <c r="I261" s="1">
        <v>1328054</v>
      </c>
      <c r="J261" s="1">
        <v>33936</v>
      </c>
      <c r="K261" s="1">
        <v>1294118</v>
      </c>
      <c r="L261" s="1">
        <v>1294118</v>
      </c>
      <c r="M261" s="1" t="s">
        <v>34</v>
      </c>
      <c r="N261" s="1" t="s">
        <v>54</v>
      </c>
      <c r="O261" s="1" t="s">
        <v>55</v>
      </c>
      <c r="P261" s="1" t="s">
        <v>27</v>
      </c>
      <c r="Q261" s="1">
        <v>2021</v>
      </c>
      <c r="R261" s="1">
        <v>8</v>
      </c>
      <c r="S261" s="1" t="s">
        <v>56</v>
      </c>
    </row>
    <row r="262" spans="1:19" x14ac:dyDescent="0.35">
      <c r="A262" s="1" t="s">
        <v>734</v>
      </c>
      <c r="B262" s="2">
        <v>44801</v>
      </c>
      <c r="C262" s="1" t="s">
        <v>207</v>
      </c>
      <c r="D262" s="1" t="s">
        <v>735</v>
      </c>
      <c r="E262" s="1" t="s">
        <v>60</v>
      </c>
      <c r="F262" s="1" t="s">
        <v>46</v>
      </c>
      <c r="G262" s="1">
        <v>18</v>
      </c>
      <c r="H262" s="1">
        <v>13714</v>
      </c>
      <c r="I262" s="1">
        <v>246852</v>
      </c>
      <c r="J262" s="1">
        <v>12681</v>
      </c>
      <c r="K262" s="1">
        <v>234171</v>
      </c>
      <c r="L262" s="1">
        <v>234171</v>
      </c>
      <c r="M262" s="1" t="s">
        <v>34</v>
      </c>
      <c r="N262" s="1" t="s">
        <v>48</v>
      </c>
      <c r="O262" s="1" t="s">
        <v>49</v>
      </c>
      <c r="P262" s="1" t="s">
        <v>27</v>
      </c>
      <c r="Q262" s="1">
        <v>2022</v>
      </c>
      <c r="R262" s="1">
        <v>8</v>
      </c>
      <c r="S262" s="1" t="s">
        <v>56</v>
      </c>
    </row>
    <row r="263" spans="1:19" x14ac:dyDescent="0.35">
      <c r="A263" s="1" t="s">
        <v>736</v>
      </c>
      <c r="B263" s="2">
        <v>44957</v>
      </c>
      <c r="C263" s="1" t="s">
        <v>402</v>
      </c>
      <c r="D263" s="1" t="s">
        <v>737</v>
      </c>
      <c r="E263" s="1" t="s">
        <v>60</v>
      </c>
      <c r="F263" s="1" t="s">
        <v>46</v>
      </c>
      <c r="G263" s="1">
        <v>30</v>
      </c>
      <c r="H263" s="1">
        <v>8217</v>
      </c>
      <c r="I263" s="1">
        <v>246510</v>
      </c>
      <c r="J263" s="1">
        <v>7360</v>
      </c>
      <c r="K263" s="1">
        <v>239150</v>
      </c>
      <c r="L263" s="1">
        <v>239150</v>
      </c>
      <c r="M263" s="1" t="s">
        <v>34</v>
      </c>
      <c r="N263" s="1" t="s">
        <v>54</v>
      </c>
      <c r="O263" s="1" t="s">
        <v>67</v>
      </c>
      <c r="P263" s="1" t="s">
        <v>27</v>
      </c>
      <c r="Q263" s="1">
        <v>2023</v>
      </c>
      <c r="R263" s="1">
        <v>1</v>
      </c>
      <c r="S263" s="1" t="s">
        <v>68</v>
      </c>
    </row>
    <row r="264" spans="1:19" x14ac:dyDescent="0.35">
      <c r="A264" s="1" t="s">
        <v>738</v>
      </c>
      <c r="B264" s="2">
        <v>45624</v>
      </c>
      <c r="C264" s="1" t="s">
        <v>739</v>
      </c>
      <c r="D264" s="1" t="s">
        <v>740</v>
      </c>
      <c r="E264" s="1" t="s">
        <v>79</v>
      </c>
      <c r="F264" s="1" t="s">
        <v>23</v>
      </c>
      <c r="G264" s="1">
        <v>9</v>
      </c>
      <c r="H264" s="1">
        <v>49172</v>
      </c>
      <c r="I264" s="1">
        <v>442548</v>
      </c>
      <c r="J264" s="1">
        <v>48237</v>
      </c>
      <c r="K264" s="1">
        <v>394311</v>
      </c>
      <c r="L264" s="1">
        <v>394311</v>
      </c>
      <c r="M264" s="1" t="s">
        <v>34</v>
      </c>
      <c r="N264" s="1" t="s">
        <v>101</v>
      </c>
      <c r="O264" s="1" t="s">
        <v>108</v>
      </c>
      <c r="P264" s="1" t="s">
        <v>27</v>
      </c>
      <c r="Q264" s="1">
        <v>2024</v>
      </c>
      <c r="R264" s="1">
        <v>11</v>
      </c>
      <c r="S264" s="1" t="s">
        <v>28</v>
      </c>
    </row>
    <row r="265" spans="1:19" x14ac:dyDescent="0.35">
      <c r="A265" s="1" t="s">
        <v>741</v>
      </c>
      <c r="B265" s="2">
        <v>45546</v>
      </c>
      <c r="C265" s="1" t="s">
        <v>449</v>
      </c>
      <c r="D265" s="1" t="s">
        <v>711</v>
      </c>
      <c r="E265" s="1" t="s">
        <v>106</v>
      </c>
      <c r="F265" s="1" t="s">
        <v>107</v>
      </c>
      <c r="G265" s="1">
        <v>29</v>
      </c>
      <c r="H265" s="1">
        <v>11444</v>
      </c>
      <c r="I265" s="1">
        <v>331876</v>
      </c>
      <c r="J265" s="1">
        <v>8685</v>
      </c>
      <c r="K265" s="1">
        <v>323191</v>
      </c>
      <c r="L265" s="1">
        <v>323191</v>
      </c>
      <c r="M265" s="1" t="s">
        <v>34</v>
      </c>
      <c r="N265" s="1" t="s">
        <v>25</v>
      </c>
      <c r="O265" s="1" t="s">
        <v>80</v>
      </c>
      <c r="P265" s="1" t="s">
        <v>27</v>
      </c>
      <c r="Q265" s="1">
        <v>2024</v>
      </c>
      <c r="R265" s="1">
        <v>9</v>
      </c>
      <c r="S265" s="1" t="s">
        <v>56</v>
      </c>
    </row>
    <row r="266" spans="1:19" x14ac:dyDescent="0.35">
      <c r="A266" s="1" t="s">
        <v>742</v>
      </c>
      <c r="B266" s="2">
        <v>45402</v>
      </c>
      <c r="C266" s="1" t="s">
        <v>363</v>
      </c>
      <c r="D266" s="1" t="s">
        <v>175</v>
      </c>
      <c r="E266" s="1" t="s">
        <v>45</v>
      </c>
      <c r="F266" s="1" t="s">
        <v>46</v>
      </c>
      <c r="G266" s="1">
        <v>11</v>
      </c>
      <c r="H266" s="1">
        <v>58205</v>
      </c>
      <c r="I266" s="1">
        <v>640255</v>
      </c>
      <c r="J266" s="1">
        <v>78940</v>
      </c>
      <c r="K266" s="1">
        <v>561315</v>
      </c>
      <c r="L266" s="1">
        <v>561315</v>
      </c>
      <c r="M266" s="1" t="s">
        <v>66</v>
      </c>
      <c r="N266" s="1" t="s">
        <v>48</v>
      </c>
      <c r="O266" s="1" t="s">
        <v>49</v>
      </c>
      <c r="P266" s="1" t="s">
        <v>27</v>
      </c>
      <c r="Q266" s="1">
        <v>2024</v>
      </c>
      <c r="R266" s="1">
        <v>4</v>
      </c>
      <c r="S266" s="1" t="s">
        <v>35</v>
      </c>
    </row>
    <row r="267" spans="1:19" x14ac:dyDescent="0.35">
      <c r="A267" s="1" t="s">
        <v>743</v>
      </c>
      <c r="B267" s="2">
        <v>45655</v>
      </c>
      <c r="C267" s="1" t="s">
        <v>307</v>
      </c>
      <c r="D267" s="1" t="s">
        <v>744</v>
      </c>
      <c r="E267" s="1" t="s">
        <v>53</v>
      </c>
      <c r="F267" s="1" t="s">
        <v>33</v>
      </c>
      <c r="G267" s="1">
        <v>27</v>
      </c>
      <c r="H267" s="1">
        <v>49744</v>
      </c>
      <c r="I267" s="1">
        <v>1343088</v>
      </c>
      <c r="J267" s="1">
        <v>21494</v>
      </c>
      <c r="K267" s="1">
        <v>1321594</v>
      </c>
      <c r="L267" s="1">
        <v>1321594</v>
      </c>
      <c r="M267" s="1" t="s">
        <v>66</v>
      </c>
      <c r="N267" s="1" t="s">
        <v>40</v>
      </c>
      <c r="O267" s="1" t="s">
        <v>41</v>
      </c>
      <c r="P267" s="1" t="s">
        <v>27</v>
      </c>
      <c r="Q267" s="1">
        <v>2024</v>
      </c>
      <c r="R267" s="1">
        <v>12</v>
      </c>
      <c r="S267" s="1" t="s">
        <v>28</v>
      </c>
    </row>
    <row r="268" spans="1:19" x14ac:dyDescent="0.35">
      <c r="A268" s="1" t="s">
        <v>745</v>
      </c>
      <c r="B268" s="2">
        <v>44232</v>
      </c>
      <c r="C268" s="1" t="s">
        <v>418</v>
      </c>
      <c r="D268" s="1" t="s">
        <v>554</v>
      </c>
      <c r="E268" s="1" t="s">
        <v>22</v>
      </c>
      <c r="F268" s="1" t="s">
        <v>23</v>
      </c>
      <c r="G268" s="1">
        <v>14</v>
      </c>
      <c r="H268" s="1">
        <v>54521</v>
      </c>
      <c r="I268" s="1">
        <v>763294</v>
      </c>
      <c r="J268" s="1">
        <v>3922</v>
      </c>
      <c r="K268" s="1">
        <v>759372</v>
      </c>
      <c r="L268" s="1">
        <v>759372</v>
      </c>
      <c r="M268" s="1" t="s">
        <v>66</v>
      </c>
      <c r="N268" s="1" t="s">
        <v>61</v>
      </c>
      <c r="O268" s="1" t="s">
        <v>88</v>
      </c>
      <c r="P268" s="1" t="s">
        <v>27</v>
      </c>
      <c r="Q268" s="1">
        <v>2021</v>
      </c>
      <c r="R268" s="1">
        <v>2</v>
      </c>
      <c r="S268" s="1" t="s">
        <v>68</v>
      </c>
    </row>
    <row r="269" spans="1:19" x14ac:dyDescent="0.35">
      <c r="A269" s="1" t="s">
        <v>746</v>
      </c>
      <c r="B269" s="2">
        <v>43747</v>
      </c>
      <c r="C269" s="1" t="s">
        <v>747</v>
      </c>
      <c r="D269" s="1" t="s">
        <v>369</v>
      </c>
      <c r="E269" s="1" t="s">
        <v>22</v>
      </c>
      <c r="F269" s="1" t="s">
        <v>23</v>
      </c>
      <c r="G269" s="1">
        <v>13</v>
      </c>
      <c r="H269" s="1">
        <v>42708</v>
      </c>
      <c r="I269" s="1">
        <v>555204</v>
      </c>
      <c r="J269" s="1">
        <v>56942</v>
      </c>
      <c r="K269" s="1">
        <v>498262</v>
      </c>
      <c r="L269" s="1">
        <v>498262</v>
      </c>
      <c r="M269" s="1" t="s">
        <v>84</v>
      </c>
      <c r="N269" s="1" t="s">
        <v>25</v>
      </c>
      <c r="O269" s="1" t="s">
        <v>26</v>
      </c>
      <c r="P269" s="1" t="s">
        <v>27</v>
      </c>
      <c r="Q269" s="1">
        <v>2019</v>
      </c>
      <c r="R269" s="1">
        <v>10</v>
      </c>
      <c r="S269" s="1" t="s">
        <v>28</v>
      </c>
    </row>
    <row r="270" spans="1:19" x14ac:dyDescent="0.35">
      <c r="A270" s="1" t="s">
        <v>748</v>
      </c>
      <c r="B270" s="2">
        <v>44707</v>
      </c>
      <c r="C270" s="1" t="s">
        <v>749</v>
      </c>
      <c r="D270" s="1" t="s">
        <v>750</v>
      </c>
      <c r="E270" s="1" t="s">
        <v>22</v>
      </c>
      <c r="F270" s="1" t="s">
        <v>23</v>
      </c>
      <c r="G270" s="1">
        <v>16</v>
      </c>
      <c r="H270" s="1">
        <v>24353</v>
      </c>
      <c r="I270" s="1">
        <v>389648</v>
      </c>
      <c r="J270" s="1">
        <v>65614</v>
      </c>
      <c r="K270" s="1">
        <v>324034</v>
      </c>
      <c r="L270" s="1">
        <v>324034</v>
      </c>
      <c r="M270" s="1" t="s">
        <v>34</v>
      </c>
      <c r="N270" s="1" t="s">
        <v>54</v>
      </c>
      <c r="O270" s="1" t="s">
        <v>55</v>
      </c>
      <c r="P270" s="1" t="s">
        <v>27</v>
      </c>
      <c r="Q270" s="1">
        <v>2022</v>
      </c>
      <c r="R270" s="1">
        <v>5</v>
      </c>
      <c r="S270" s="1" t="s">
        <v>35</v>
      </c>
    </row>
    <row r="271" spans="1:19" x14ac:dyDescent="0.35">
      <c r="A271" s="1" t="s">
        <v>751</v>
      </c>
      <c r="B271" s="2">
        <v>44443</v>
      </c>
      <c r="C271" s="1" t="s">
        <v>752</v>
      </c>
      <c r="D271" s="1" t="s">
        <v>744</v>
      </c>
      <c r="E271" s="1" t="s">
        <v>45</v>
      </c>
      <c r="F271" s="1" t="s">
        <v>46</v>
      </c>
      <c r="G271" s="1">
        <v>2</v>
      </c>
      <c r="H271" s="1">
        <v>11379</v>
      </c>
      <c r="I271" s="1">
        <v>22758</v>
      </c>
      <c r="J271" s="1">
        <v>386</v>
      </c>
      <c r="K271" s="1">
        <v>22372</v>
      </c>
      <c r="L271" s="1">
        <v>22372</v>
      </c>
      <c r="M271" s="1" t="s">
        <v>39</v>
      </c>
      <c r="N271" s="1" t="s">
        <v>40</v>
      </c>
      <c r="O271" s="1" t="s">
        <v>75</v>
      </c>
      <c r="P271" s="1" t="s">
        <v>27</v>
      </c>
      <c r="Q271" s="1">
        <v>2021</v>
      </c>
      <c r="R271" s="1">
        <v>9</v>
      </c>
      <c r="S271" s="1" t="s">
        <v>56</v>
      </c>
    </row>
    <row r="272" spans="1:19" x14ac:dyDescent="0.35">
      <c r="A272" s="1" t="s">
        <v>753</v>
      </c>
      <c r="B272" s="2">
        <v>43869</v>
      </c>
      <c r="C272" s="1" t="s">
        <v>754</v>
      </c>
      <c r="D272" s="1" t="s">
        <v>755</v>
      </c>
      <c r="E272" s="1" t="s">
        <v>22</v>
      </c>
      <c r="F272" s="1" t="s">
        <v>23</v>
      </c>
      <c r="G272" s="1">
        <v>1</v>
      </c>
      <c r="H272" s="1">
        <v>13981</v>
      </c>
      <c r="I272" s="1">
        <v>13981</v>
      </c>
      <c r="J272" s="1">
        <v>770</v>
      </c>
      <c r="K272" s="1">
        <v>13211</v>
      </c>
      <c r="L272" s="1">
        <v>13211</v>
      </c>
      <c r="M272" s="1" t="s">
        <v>39</v>
      </c>
      <c r="N272" s="1" t="s">
        <v>61</v>
      </c>
      <c r="O272" s="1" t="s">
        <v>88</v>
      </c>
      <c r="P272" s="1" t="s">
        <v>27</v>
      </c>
      <c r="Q272" s="1">
        <v>2020</v>
      </c>
      <c r="R272" s="1">
        <v>2</v>
      </c>
      <c r="S272" s="1" t="s">
        <v>68</v>
      </c>
    </row>
    <row r="273" spans="1:19" x14ac:dyDescent="0.35">
      <c r="A273" s="1" t="s">
        <v>756</v>
      </c>
      <c r="B273" s="2">
        <v>44639</v>
      </c>
      <c r="C273" s="1" t="s">
        <v>757</v>
      </c>
      <c r="D273" s="1" t="s">
        <v>393</v>
      </c>
      <c r="E273" s="1" t="s">
        <v>45</v>
      </c>
      <c r="F273" s="1" t="s">
        <v>46</v>
      </c>
      <c r="G273" s="1">
        <v>4</v>
      </c>
      <c r="H273" s="1">
        <v>58351</v>
      </c>
      <c r="I273" s="1">
        <v>233404</v>
      </c>
      <c r="J273" s="1">
        <v>21860</v>
      </c>
      <c r="K273" s="1">
        <v>211544</v>
      </c>
      <c r="L273" s="1">
        <v>211544</v>
      </c>
      <c r="M273" s="1" t="s">
        <v>47</v>
      </c>
      <c r="N273" s="1" t="s">
        <v>48</v>
      </c>
      <c r="O273" s="1" t="s">
        <v>49</v>
      </c>
      <c r="P273" s="1" t="s">
        <v>27</v>
      </c>
      <c r="Q273" s="1">
        <v>2022</v>
      </c>
      <c r="R273" s="1">
        <v>3</v>
      </c>
      <c r="S273" s="1" t="s">
        <v>68</v>
      </c>
    </row>
    <row r="274" spans="1:19" x14ac:dyDescent="0.35">
      <c r="A274" s="1" t="s">
        <v>758</v>
      </c>
      <c r="B274" s="2">
        <v>44126</v>
      </c>
      <c r="C274" s="1" t="s">
        <v>150</v>
      </c>
      <c r="D274" s="1" t="s">
        <v>759</v>
      </c>
      <c r="E274" s="1" t="s">
        <v>32</v>
      </c>
      <c r="F274" s="1" t="s">
        <v>33</v>
      </c>
      <c r="G274" s="1">
        <v>12</v>
      </c>
      <c r="H274" s="1">
        <v>47585</v>
      </c>
      <c r="I274" s="1">
        <v>571020</v>
      </c>
      <c r="J274" s="1">
        <v>82946</v>
      </c>
      <c r="K274" s="1">
        <v>488074</v>
      </c>
      <c r="L274" s="1">
        <v>488074</v>
      </c>
      <c r="M274" s="1" t="s">
        <v>24</v>
      </c>
      <c r="N274" s="1" t="s">
        <v>61</v>
      </c>
      <c r="O274" s="1" t="s">
        <v>62</v>
      </c>
      <c r="P274" s="1" t="s">
        <v>27</v>
      </c>
      <c r="Q274" s="1">
        <v>2020</v>
      </c>
      <c r="R274" s="1">
        <v>10</v>
      </c>
      <c r="S274" s="1" t="s">
        <v>28</v>
      </c>
    </row>
    <row r="275" spans="1:19" x14ac:dyDescent="0.35">
      <c r="A275" s="1" t="s">
        <v>760</v>
      </c>
      <c r="B275" s="2">
        <v>44159</v>
      </c>
      <c r="C275" s="1" t="s">
        <v>761</v>
      </c>
      <c r="D275" s="1" t="s">
        <v>166</v>
      </c>
      <c r="E275" s="1" t="s">
        <v>45</v>
      </c>
      <c r="F275" s="1" t="s">
        <v>46</v>
      </c>
      <c r="G275" s="1">
        <v>9</v>
      </c>
      <c r="H275" s="1">
        <v>59975</v>
      </c>
      <c r="I275" s="1">
        <v>539775</v>
      </c>
      <c r="J275" s="1">
        <v>20474</v>
      </c>
      <c r="K275" s="1">
        <v>519301</v>
      </c>
      <c r="L275" s="1">
        <v>519301</v>
      </c>
      <c r="M275" s="1" t="s">
        <v>39</v>
      </c>
      <c r="N275" s="1" t="s">
        <v>61</v>
      </c>
      <c r="O275" s="1" t="s">
        <v>88</v>
      </c>
      <c r="P275" s="1" t="s">
        <v>27</v>
      </c>
      <c r="Q275" s="1">
        <v>2020</v>
      </c>
      <c r="R275" s="1">
        <v>11</v>
      </c>
      <c r="S275" s="1" t="s">
        <v>28</v>
      </c>
    </row>
    <row r="276" spans="1:19" x14ac:dyDescent="0.35">
      <c r="A276" s="1" t="s">
        <v>762</v>
      </c>
      <c r="B276" s="2">
        <v>44552</v>
      </c>
      <c r="C276" s="1" t="s">
        <v>691</v>
      </c>
      <c r="D276" s="1" t="s">
        <v>763</v>
      </c>
      <c r="E276" s="1" t="s">
        <v>79</v>
      </c>
      <c r="F276" s="1" t="s">
        <v>23</v>
      </c>
      <c r="G276" s="1">
        <v>13</v>
      </c>
      <c r="H276" s="1">
        <v>19882</v>
      </c>
      <c r="I276" s="1">
        <v>258466</v>
      </c>
      <c r="J276" s="1">
        <v>34026</v>
      </c>
      <c r="K276" s="1">
        <v>224440</v>
      </c>
      <c r="L276" s="1">
        <v>224440</v>
      </c>
      <c r="M276" s="1" t="s">
        <v>24</v>
      </c>
      <c r="N276" s="1" t="s">
        <v>25</v>
      </c>
      <c r="O276" s="1" t="s">
        <v>80</v>
      </c>
      <c r="P276" s="1" t="s">
        <v>27</v>
      </c>
      <c r="Q276" s="1">
        <v>2021</v>
      </c>
      <c r="R276" s="1">
        <v>12</v>
      </c>
      <c r="S276" s="1" t="s">
        <v>28</v>
      </c>
    </row>
    <row r="277" spans="1:19" x14ac:dyDescent="0.35">
      <c r="A277" s="1" t="s">
        <v>764</v>
      </c>
      <c r="B277" s="2">
        <v>44642</v>
      </c>
      <c r="C277" s="1" t="s">
        <v>765</v>
      </c>
      <c r="D277" s="1" t="s">
        <v>225</v>
      </c>
      <c r="E277" s="1" t="s">
        <v>53</v>
      </c>
      <c r="F277" s="1" t="s">
        <v>33</v>
      </c>
      <c r="G277" s="1">
        <v>8</v>
      </c>
      <c r="H277" s="1">
        <v>45796</v>
      </c>
      <c r="I277" s="1">
        <v>366368</v>
      </c>
      <c r="J277" s="1">
        <v>45743</v>
      </c>
      <c r="K277" s="1">
        <v>320625</v>
      </c>
      <c r="L277" s="1">
        <v>320625</v>
      </c>
      <c r="M277" s="1" t="s">
        <v>34</v>
      </c>
      <c r="N277" s="1" t="s">
        <v>25</v>
      </c>
      <c r="O277" s="1" t="s">
        <v>26</v>
      </c>
      <c r="P277" s="1" t="s">
        <v>27</v>
      </c>
      <c r="Q277" s="1">
        <v>2022</v>
      </c>
      <c r="R277" s="1">
        <v>3</v>
      </c>
      <c r="S277" s="1" t="s">
        <v>68</v>
      </c>
    </row>
    <row r="278" spans="1:19" x14ac:dyDescent="0.35">
      <c r="A278" s="1" t="s">
        <v>766</v>
      </c>
      <c r="B278" s="2">
        <v>45615</v>
      </c>
      <c r="C278" s="1" t="s">
        <v>287</v>
      </c>
      <c r="D278" s="1" t="s">
        <v>528</v>
      </c>
      <c r="E278" s="1" t="s">
        <v>22</v>
      </c>
      <c r="F278" s="1" t="s">
        <v>23</v>
      </c>
      <c r="G278" s="1">
        <v>27</v>
      </c>
      <c r="H278" s="1">
        <v>53085</v>
      </c>
      <c r="I278" s="1">
        <v>1433295</v>
      </c>
      <c r="J278" s="1">
        <v>202049</v>
      </c>
      <c r="K278" s="1">
        <v>1231246</v>
      </c>
      <c r="L278" s="1">
        <v>1231246</v>
      </c>
      <c r="M278" s="1" t="s">
        <v>47</v>
      </c>
      <c r="N278" s="1" t="s">
        <v>40</v>
      </c>
      <c r="O278" s="1" t="s">
        <v>75</v>
      </c>
      <c r="P278" s="1" t="s">
        <v>27</v>
      </c>
      <c r="Q278" s="1">
        <v>2024</v>
      </c>
      <c r="R278" s="1">
        <v>11</v>
      </c>
      <c r="S278" s="1" t="s">
        <v>28</v>
      </c>
    </row>
    <row r="279" spans="1:19" x14ac:dyDescent="0.35">
      <c r="A279" s="1" t="s">
        <v>767</v>
      </c>
      <c r="B279" s="2">
        <v>44577</v>
      </c>
      <c r="C279" s="1" t="s">
        <v>535</v>
      </c>
      <c r="D279" s="1" t="s">
        <v>114</v>
      </c>
      <c r="E279" s="1" t="s">
        <v>106</v>
      </c>
      <c r="F279" s="1" t="s">
        <v>107</v>
      </c>
      <c r="G279" s="1">
        <v>9</v>
      </c>
      <c r="H279" s="1">
        <v>26468</v>
      </c>
      <c r="I279" s="1">
        <v>238212</v>
      </c>
      <c r="J279" s="1">
        <v>32238</v>
      </c>
      <c r="K279" s="1">
        <v>205974</v>
      </c>
      <c r="L279" s="1">
        <v>205974</v>
      </c>
      <c r="M279" s="1" t="s">
        <v>39</v>
      </c>
      <c r="N279" s="1" t="s">
        <v>40</v>
      </c>
      <c r="O279" s="1" t="s">
        <v>75</v>
      </c>
      <c r="P279" s="1" t="s">
        <v>27</v>
      </c>
      <c r="Q279" s="1">
        <v>2022</v>
      </c>
      <c r="R279" s="1">
        <v>1</v>
      </c>
      <c r="S279" s="1" t="s">
        <v>68</v>
      </c>
    </row>
    <row r="280" spans="1:19" x14ac:dyDescent="0.35">
      <c r="A280" s="1" t="s">
        <v>768</v>
      </c>
      <c r="B280" s="2">
        <v>45084</v>
      </c>
      <c r="C280" s="1" t="s">
        <v>769</v>
      </c>
      <c r="D280" s="1" t="s">
        <v>770</v>
      </c>
      <c r="E280" s="1" t="s">
        <v>79</v>
      </c>
      <c r="F280" s="1" t="s">
        <v>23</v>
      </c>
      <c r="G280" s="1">
        <v>24</v>
      </c>
      <c r="H280" s="1">
        <v>23190</v>
      </c>
      <c r="I280" s="1">
        <v>556560</v>
      </c>
      <c r="J280" s="1">
        <v>94262</v>
      </c>
      <c r="K280" s="1">
        <v>462298</v>
      </c>
      <c r="L280" s="1">
        <v>462298</v>
      </c>
      <c r="M280" s="1" t="s">
        <v>39</v>
      </c>
      <c r="N280" s="1" t="s">
        <v>101</v>
      </c>
      <c r="O280" s="1" t="s">
        <v>108</v>
      </c>
      <c r="P280" s="1" t="s">
        <v>27</v>
      </c>
      <c r="Q280" s="1">
        <v>2023</v>
      </c>
      <c r="R280" s="1">
        <v>6</v>
      </c>
      <c r="S280" s="1" t="s">
        <v>35</v>
      </c>
    </row>
    <row r="281" spans="1:19" x14ac:dyDescent="0.35">
      <c r="A281" s="1" t="s">
        <v>771</v>
      </c>
      <c r="B281" s="2">
        <v>45606</v>
      </c>
      <c r="C281" s="1" t="s">
        <v>579</v>
      </c>
      <c r="D281" s="1" t="s">
        <v>772</v>
      </c>
      <c r="E281" s="1" t="s">
        <v>124</v>
      </c>
      <c r="F281" s="1" t="s">
        <v>107</v>
      </c>
      <c r="G281" s="1">
        <v>20</v>
      </c>
      <c r="H281" s="1">
        <v>50054</v>
      </c>
      <c r="I281" s="1">
        <v>1001080</v>
      </c>
      <c r="J281" s="1">
        <v>83737</v>
      </c>
      <c r="K281" s="1">
        <v>917343</v>
      </c>
      <c r="L281" s="1">
        <v>917343</v>
      </c>
      <c r="M281" s="1" t="s">
        <v>39</v>
      </c>
      <c r="N281" s="1" t="s">
        <v>101</v>
      </c>
      <c r="O281" s="1" t="s">
        <v>108</v>
      </c>
      <c r="P281" s="1" t="s">
        <v>27</v>
      </c>
      <c r="Q281" s="1">
        <v>2024</v>
      </c>
      <c r="R281" s="1">
        <v>11</v>
      </c>
      <c r="S281" s="1" t="s">
        <v>28</v>
      </c>
    </row>
    <row r="282" spans="1:19" x14ac:dyDescent="0.35">
      <c r="A282" s="1" t="s">
        <v>773</v>
      </c>
      <c r="B282" s="2">
        <v>45484</v>
      </c>
      <c r="C282" s="1" t="s">
        <v>774</v>
      </c>
      <c r="D282" s="1" t="s">
        <v>775</v>
      </c>
      <c r="E282" s="1" t="s">
        <v>79</v>
      </c>
      <c r="F282" s="1" t="s">
        <v>23</v>
      </c>
      <c r="G282" s="1">
        <v>28</v>
      </c>
      <c r="H282" s="1">
        <v>59072</v>
      </c>
      <c r="I282" s="1">
        <v>1654016</v>
      </c>
      <c r="J282" s="1">
        <v>256824</v>
      </c>
      <c r="K282" s="1">
        <v>1397192</v>
      </c>
      <c r="L282" s="1">
        <v>1397192</v>
      </c>
      <c r="M282" s="1" t="s">
        <v>24</v>
      </c>
      <c r="N282" s="1" t="s">
        <v>48</v>
      </c>
      <c r="O282" s="1" t="s">
        <v>49</v>
      </c>
      <c r="P282" s="1" t="s">
        <v>27</v>
      </c>
      <c r="Q282" s="1">
        <v>2024</v>
      </c>
      <c r="R282" s="1">
        <v>7</v>
      </c>
      <c r="S282" s="1" t="s">
        <v>56</v>
      </c>
    </row>
    <row r="283" spans="1:19" x14ac:dyDescent="0.35">
      <c r="A283" s="1" t="s">
        <v>776</v>
      </c>
      <c r="B283" s="2">
        <v>44361</v>
      </c>
      <c r="C283" s="1" t="s">
        <v>777</v>
      </c>
      <c r="D283" s="1" t="s">
        <v>504</v>
      </c>
      <c r="E283" s="1" t="s">
        <v>106</v>
      </c>
      <c r="F283" s="1" t="s">
        <v>107</v>
      </c>
      <c r="G283" s="1">
        <v>11</v>
      </c>
      <c r="H283" s="1">
        <v>21275</v>
      </c>
      <c r="I283" s="1">
        <v>234025</v>
      </c>
      <c r="J283" s="1">
        <v>29789</v>
      </c>
      <c r="K283" s="1">
        <v>204236</v>
      </c>
      <c r="L283" s="1">
        <v>204236</v>
      </c>
      <c r="M283" s="1" t="s">
        <v>84</v>
      </c>
      <c r="N283" s="1" t="s">
        <v>101</v>
      </c>
      <c r="O283" s="1" t="s">
        <v>108</v>
      </c>
      <c r="P283" s="1" t="s">
        <v>27</v>
      </c>
      <c r="Q283" s="1">
        <v>2021</v>
      </c>
      <c r="R283" s="1">
        <v>6</v>
      </c>
      <c r="S283" s="1" t="s">
        <v>35</v>
      </c>
    </row>
    <row r="284" spans="1:19" x14ac:dyDescent="0.35">
      <c r="A284" s="1" t="s">
        <v>778</v>
      </c>
      <c r="B284" s="2">
        <v>43733</v>
      </c>
      <c r="C284" s="1" t="s">
        <v>490</v>
      </c>
      <c r="D284" s="1" t="s">
        <v>779</v>
      </c>
      <c r="E284" s="1" t="s">
        <v>79</v>
      </c>
      <c r="F284" s="1" t="s">
        <v>23</v>
      </c>
      <c r="G284" s="1">
        <v>15</v>
      </c>
      <c r="H284" s="1">
        <v>22110</v>
      </c>
      <c r="I284" s="1">
        <v>331650</v>
      </c>
      <c r="J284" s="1">
        <v>2808</v>
      </c>
      <c r="K284" s="1">
        <v>328842</v>
      </c>
      <c r="L284" s="1">
        <v>328842</v>
      </c>
      <c r="M284" s="1" t="s">
        <v>47</v>
      </c>
      <c r="N284" s="1" t="s">
        <v>40</v>
      </c>
      <c r="O284" s="1" t="s">
        <v>75</v>
      </c>
      <c r="P284" s="1" t="s">
        <v>27</v>
      </c>
      <c r="Q284" s="1">
        <v>2019</v>
      </c>
      <c r="R284" s="1">
        <v>9</v>
      </c>
      <c r="S284" s="1" t="s">
        <v>56</v>
      </c>
    </row>
    <row r="285" spans="1:19" x14ac:dyDescent="0.35">
      <c r="A285" s="1" t="s">
        <v>780</v>
      </c>
      <c r="B285" s="2">
        <v>44875</v>
      </c>
      <c r="C285" s="1" t="s">
        <v>307</v>
      </c>
      <c r="D285" s="1" t="s">
        <v>447</v>
      </c>
      <c r="E285" s="1" t="s">
        <v>45</v>
      </c>
      <c r="F285" s="1" t="s">
        <v>46</v>
      </c>
      <c r="G285" s="1">
        <v>11</v>
      </c>
      <c r="H285" s="1">
        <v>37132</v>
      </c>
      <c r="I285" s="1">
        <v>408452</v>
      </c>
      <c r="J285" s="1">
        <v>20354</v>
      </c>
      <c r="K285" s="1">
        <v>388098</v>
      </c>
      <c r="L285" s="1">
        <v>388098</v>
      </c>
      <c r="M285" s="1" t="s">
        <v>34</v>
      </c>
      <c r="N285" s="1" t="s">
        <v>40</v>
      </c>
      <c r="O285" s="1" t="s">
        <v>41</v>
      </c>
      <c r="P285" s="1" t="s">
        <v>27</v>
      </c>
      <c r="Q285" s="1">
        <v>2022</v>
      </c>
      <c r="R285" s="1">
        <v>11</v>
      </c>
      <c r="S285" s="1" t="s">
        <v>28</v>
      </c>
    </row>
    <row r="286" spans="1:19" x14ac:dyDescent="0.35">
      <c r="A286" s="1" t="s">
        <v>781</v>
      </c>
      <c r="B286" s="2">
        <v>43761</v>
      </c>
      <c r="C286" s="1" t="s">
        <v>782</v>
      </c>
      <c r="D286" s="1" t="s">
        <v>783</v>
      </c>
      <c r="E286" s="1" t="s">
        <v>124</v>
      </c>
      <c r="F286" s="1" t="s">
        <v>107</v>
      </c>
      <c r="G286" s="1">
        <v>27</v>
      </c>
      <c r="H286" s="1">
        <v>37634</v>
      </c>
      <c r="I286" s="1">
        <v>1016118</v>
      </c>
      <c r="J286" s="1">
        <v>142013</v>
      </c>
      <c r="K286" s="1">
        <v>874105</v>
      </c>
      <c r="L286" s="1">
        <v>874105</v>
      </c>
      <c r="M286" s="1" t="s">
        <v>66</v>
      </c>
      <c r="N286" s="1" t="s">
        <v>25</v>
      </c>
      <c r="O286" s="1" t="s">
        <v>80</v>
      </c>
      <c r="P286" s="1" t="s">
        <v>27</v>
      </c>
      <c r="Q286" s="1">
        <v>2019</v>
      </c>
      <c r="R286" s="1">
        <v>10</v>
      </c>
      <c r="S286" s="1" t="s">
        <v>28</v>
      </c>
    </row>
    <row r="287" spans="1:19" x14ac:dyDescent="0.35">
      <c r="A287" s="1" t="s">
        <v>784</v>
      </c>
      <c r="B287" s="2">
        <v>45547</v>
      </c>
      <c r="C287" s="1" t="s">
        <v>495</v>
      </c>
      <c r="D287" s="1" t="s">
        <v>785</v>
      </c>
      <c r="E287" s="1" t="s">
        <v>32</v>
      </c>
      <c r="F287" s="1" t="s">
        <v>33</v>
      </c>
      <c r="G287" s="1">
        <v>12</v>
      </c>
      <c r="H287" s="1">
        <v>26413</v>
      </c>
      <c r="I287" s="1">
        <v>316956</v>
      </c>
      <c r="J287" s="1">
        <v>61675</v>
      </c>
      <c r="K287" s="1">
        <v>255281</v>
      </c>
      <c r="L287" s="1">
        <v>255281</v>
      </c>
      <c r="M287" s="1" t="s">
        <v>39</v>
      </c>
      <c r="N287" s="1" t="s">
        <v>40</v>
      </c>
      <c r="O287" s="1" t="s">
        <v>125</v>
      </c>
      <c r="P287" s="1" t="s">
        <v>27</v>
      </c>
      <c r="Q287" s="1">
        <v>2024</v>
      </c>
      <c r="R287" s="1">
        <v>9</v>
      </c>
      <c r="S287" s="1" t="s">
        <v>56</v>
      </c>
    </row>
    <row r="288" spans="1:19" x14ac:dyDescent="0.35">
      <c r="A288" s="1" t="s">
        <v>786</v>
      </c>
      <c r="B288" s="2">
        <v>44007</v>
      </c>
      <c r="C288" s="1" t="s">
        <v>787</v>
      </c>
      <c r="D288" s="1" t="s">
        <v>639</v>
      </c>
      <c r="E288" s="1" t="s">
        <v>106</v>
      </c>
      <c r="F288" s="1" t="s">
        <v>107</v>
      </c>
      <c r="G288" s="1">
        <v>2</v>
      </c>
      <c r="H288" s="1">
        <v>22965</v>
      </c>
      <c r="I288" s="1">
        <v>45930</v>
      </c>
      <c r="J288" s="1">
        <v>1985</v>
      </c>
      <c r="K288" s="1">
        <v>43945</v>
      </c>
      <c r="L288" s="1">
        <v>43945</v>
      </c>
      <c r="M288" s="1" t="s">
        <v>84</v>
      </c>
      <c r="N288" s="1" t="s">
        <v>40</v>
      </c>
      <c r="O288" s="1" t="s">
        <v>41</v>
      </c>
      <c r="P288" s="1" t="s">
        <v>27</v>
      </c>
      <c r="Q288" s="1">
        <v>2020</v>
      </c>
      <c r="R288" s="1">
        <v>6</v>
      </c>
      <c r="S288" s="1" t="s">
        <v>35</v>
      </c>
    </row>
    <row r="289" spans="1:19" x14ac:dyDescent="0.35">
      <c r="A289" s="1" t="s">
        <v>788</v>
      </c>
      <c r="B289" s="2">
        <v>45036</v>
      </c>
      <c r="C289" s="1" t="s">
        <v>789</v>
      </c>
      <c r="D289" s="1" t="s">
        <v>790</v>
      </c>
      <c r="E289" s="1" t="s">
        <v>32</v>
      </c>
      <c r="F289" s="1" t="s">
        <v>33</v>
      </c>
      <c r="G289" s="1">
        <v>23</v>
      </c>
      <c r="H289" s="1">
        <v>4832</v>
      </c>
      <c r="I289" s="1">
        <v>111136</v>
      </c>
      <c r="J289" s="1">
        <v>21644</v>
      </c>
      <c r="K289" s="1">
        <v>89492</v>
      </c>
      <c r="L289" s="1">
        <v>89492</v>
      </c>
      <c r="M289" s="1" t="s">
        <v>47</v>
      </c>
      <c r="N289" s="1" t="s">
        <v>54</v>
      </c>
      <c r="O289" s="1" t="s">
        <v>67</v>
      </c>
      <c r="P289" s="1" t="s">
        <v>27</v>
      </c>
      <c r="Q289" s="1">
        <v>2023</v>
      </c>
      <c r="R289" s="1">
        <v>4</v>
      </c>
      <c r="S289" s="1" t="s">
        <v>35</v>
      </c>
    </row>
    <row r="290" spans="1:19" x14ac:dyDescent="0.35">
      <c r="A290" s="1" t="s">
        <v>791</v>
      </c>
      <c r="B290" s="2">
        <v>45058</v>
      </c>
      <c r="C290" s="1" t="s">
        <v>792</v>
      </c>
      <c r="D290" s="1" t="s">
        <v>793</v>
      </c>
      <c r="E290" s="1" t="s">
        <v>32</v>
      </c>
      <c r="F290" s="1" t="s">
        <v>33</v>
      </c>
      <c r="G290" s="1">
        <v>15</v>
      </c>
      <c r="H290" s="1">
        <v>19629</v>
      </c>
      <c r="I290" s="1">
        <v>294435</v>
      </c>
      <c r="J290" s="1">
        <v>9275</v>
      </c>
      <c r="K290" s="1">
        <v>285160</v>
      </c>
      <c r="L290" s="1">
        <v>285160</v>
      </c>
      <c r="M290" s="1" t="s">
        <v>84</v>
      </c>
      <c r="N290" s="1" t="s">
        <v>48</v>
      </c>
      <c r="O290" s="1" t="s">
        <v>49</v>
      </c>
      <c r="P290" s="1" t="s">
        <v>27</v>
      </c>
      <c r="Q290" s="1">
        <v>2023</v>
      </c>
      <c r="R290" s="1">
        <v>5</v>
      </c>
      <c r="S290" s="1" t="s">
        <v>35</v>
      </c>
    </row>
    <row r="291" spans="1:19" x14ac:dyDescent="0.35">
      <c r="A291" s="1" t="s">
        <v>794</v>
      </c>
      <c r="B291" s="2">
        <v>43844</v>
      </c>
      <c r="C291" s="1" t="s">
        <v>268</v>
      </c>
      <c r="D291" s="1" t="s">
        <v>795</v>
      </c>
      <c r="E291" s="1" t="s">
        <v>32</v>
      </c>
      <c r="F291" s="1" t="s">
        <v>33</v>
      </c>
      <c r="G291" s="1">
        <v>20</v>
      </c>
      <c r="H291" s="1">
        <v>25511</v>
      </c>
      <c r="I291" s="1">
        <v>510220</v>
      </c>
      <c r="J291" s="1">
        <v>21422</v>
      </c>
      <c r="K291" s="1">
        <v>488798</v>
      </c>
      <c r="L291" s="1">
        <v>488798</v>
      </c>
      <c r="M291" s="1" t="s">
        <v>39</v>
      </c>
      <c r="N291" s="1" t="s">
        <v>25</v>
      </c>
      <c r="O291" s="1" t="s">
        <v>26</v>
      </c>
      <c r="P291" s="1" t="s">
        <v>27</v>
      </c>
      <c r="Q291" s="1">
        <v>2020</v>
      </c>
      <c r="R291" s="1">
        <v>1</v>
      </c>
      <c r="S291" s="1" t="s">
        <v>68</v>
      </c>
    </row>
    <row r="292" spans="1:19" x14ac:dyDescent="0.35">
      <c r="A292" s="1" t="s">
        <v>796</v>
      </c>
      <c r="B292" s="2">
        <v>44911</v>
      </c>
      <c r="C292" s="1" t="s">
        <v>368</v>
      </c>
      <c r="D292" s="1" t="s">
        <v>797</v>
      </c>
      <c r="E292" s="1" t="s">
        <v>106</v>
      </c>
      <c r="F292" s="1" t="s">
        <v>107</v>
      </c>
      <c r="G292" s="1">
        <v>19</v>
      </c>
      <c r="H292" s="1">
        <v>16963</v>
      </c>
      <c r="I292" s="1">
        <v>322297</v>
      </c>
      <c r="J292" s="1">
        <v>7631</v>
      </c>
      <c r="K292" s="1">
        <v>314666</v>
      </c>
      <c r="L292" s="1">
        <v>314666</v>
      </c>
      <c r="M292" s="1" t="s">
        <v>24</v>
      </c>
      <c r="N292" s="1" t="s">
        <v>54</v>
      </c>
      <c r="O292" s="1" t="s">
        <v>55</v>
      </c>
      <c r="P292" s="1" t="s">
        <v>27</v>
      </c>
      <c r="Q292" s="1">
        <v>2022</v>
      </c>
      <c r="R292" s="1">
        <v>12</v>
      </c>
      <c r="S292" s="1" t="s">
        <v>28</v>
      </c>
    </row>
    <row r="293" spans="1:19" x14ac:dyDescent="0.35">
      <c r="A293" s="1" t="s">
        <v>798</v>
      </c>
      <c r="B293" s="2">
        <v>43707</v>
      </c>
      <c r="C293" s="1" t="s">
        <v>799</v>
      </c>
      <c r="D293" s="1" t="s">
        <v>580</v>
      </c>
      <c r="E293" s="1" t="s">
        <v>53</v>
      </c>
      <c r="F293" s="1" t="s">
        <v>33</v>
      </c>
      <c r="G293" s="1">
        <v>9</v>
      </c>
      <c r="H293" s="1">
        <v>13428</v>
      </c>
      <c r="I293" s="1">
        <v>120852</v>
      </c>
      <c r="J293" s="1">
        <v>1685</v>
      </c>
      <c r="K293" s="1">
        <v>119167</v>
      </c>
      <c r="L293" s="1">
        <v>119167</v>
      </c>
      <c r="M293" s="1" t="s">
        <v>39</v>
      </c>
      <c r="N293" s="1" t="s">
        <v>25</v>
      </c>
      <c r="O293" s="1" t="s">
        <v>26</v>
      </c>
      <c r="P293" s="1" t="s">
        <v>27</v>
      </c>
      <c r="Q293" s="1">
        <v>2019</v>
      </c>
      <c r="R293" s="1">
        <v>8</v>
      </c>
      <c r="S293" s="1" t="s">
        <v>56</v>
      </c>
    </row>
    <row r="294" spans="1:19" x14ac:dyDescent="0.35">
      <c r="A294" s="1" t="s">
        <v>800</v>
      </c>
      <c r="B294" s="2">
        <v>43744</v>
      </c>
      <c r="C294" s="1" t="s">
        <v>801</v>
      </c>
      <c r="D294" s="1" t="s">
        <v>802</v>
      </c>
      <c r="E294" s="1" t="s">
        <v>22</v>
      </c>
      <c r="F294" s="1" t="s">
        <v>23</v>
      </c>
      <c r="G294" s="1">
        <v>1</v>
      </c>
      <c r="H294" s="1">
        <v>26166</v>
      </c>
      <c r="I294" s="1">
        <v>26166</v>
      </c>
      <c r="J294" s="1">
        <v>4211</v>
      </c>
      <c r="K294" s="1">
        <v>21955</v>
      </c>
      <c r="L294" s="1">
        <v>21955</v>
      </c>
      <c r="M294" s="1" t="s">
        <v>84</v>
      </c>
      <c r="N294" s="1" t="s">
        <v>25</v>
      </c>
      <c r="O294" s="1" t="s">
        <v>80</v>
      </c>
      <c r="P294" s="1" t="s">
        <v>27</v>
      </c>
      <c r="Q294" s="1">
        <v>2019</v>
      </c>
      <c r="R294" s="1">
        <v>10</v>
      </c>
      <c r="S294" s="1" t="s">
        <v>28</v>
      </c>
    </row>
    <row r="295" spans="1:19" x14ac:dyDescent="0.35">
      <c r="A295" s="1" t="s">
        <v>803</v>
      </c>
      <c r="B295" s="2">
        <v>44531</v>
      </c>
      <c r="C295" s="1" t="s">
        <v>804</v>
      </c>
      <c r="D295" s="1" t="s">
        <v>294</v>
      </c>
      <c r="E295" s="1" t="s">
        <v>45</v>
      </c>
      <c r="F295" s="1" t="s">
        <v>46</v>
      </c>
      <c r="G295" s="1">
        <v>3</v>
      </c>
      <c r="H295" s="1">
        <v>22659</v>
      </c>
      <c r="I295" s="1">
        <v>67977</v>
      </c>
      <c r="J295" s="1">
        <v>2217</v>
      </c>
      <c r="K295" s="1">
        <v>65760</v>
      </c>
      <c r="L295" s="1">
        <v>65760</v>
      </c>
      <c r="M295" s="1" t="s">
        <v>34</v>
      </c>
      <c r="N295" s="1" t="s">
        <v>40</v>
      </c>
      <c r="O295" s="1" t="s">
        <v>75</v>
      </c>
      <c r="P295" s="1" t="s">
        <v>27</v>
      </c>
      <c r="Q295" s="1">
        <v>2021</v>
      </c>
      <c r="R295" s="1">
        <v>12</v>
      </c>
      <c r="S295" s="1" t="s">
        <v>28</v>
      </c>
    </row>
    <row r="296" spans="1:19" x14ac:dyDescent="0.35">
      <c r="A296" s="1" t="s">
        <v>805</v>
      </c>
      <c r="B296" s="2">
        <v>44849</v>
      </c>
      <c r="C296" s="1" t="s">
        <v>806</v>
      </c>
      <c r="D296" s="1" t="s">
        <v>525</v>
      </c>
      <c r="E296" s="1" t="s">
        <v>32</v>
      </c>
      <c r="F296" s="1" t="s">
        <v>33</v>
      </c>
      <c r="G296" s="1">
        <v>8</v>
      </c>
      <c r="H296" s="1">
        <v>3201</v>
      </c>
      <c r="I296" s="1">
        <v>25608</v>
      </c>
      <c r="J296" s="1">
        <v>257</v>
      </c>
      <c r="K296" s="1">
        <v>25351</v>
      </c>
      <c r="L296" s="1">
        <v>25351</v>
      </c>
      <c r="M296" s="1" t="s">
        <v>34</v>
      </c>
      <c r="N296" s="1" t="s">
        <v>101</v>
      </c>
      <c r="O296" s="1" t="s">
        <v>102</v>
      </c>
      <c r="P296" s="1" t="s">
        <v>27</v>
      </c>
      <c r="Q296" s="1">
        <v>2022</v>
      </c>
      <c r="R296" s="1">
        <v>10</v>
      </c>
      <c r="S296" s="1" t="s">
        <v>28</v>
      </c>
    </row>
    <row r="297" spans="1:19" x14ac:dyDescent="0.35">
      <c r="A297" s="1" t="s">
        <v>807</v>
      </c>
      <c r="B297" s="2">
        <v>45507</v>
      </c>
      <c r="C297" s="1" t="s">
        <v>481</v>
      </c>
      <c r="D297" s="1" t="s">
        <v>808</v>
      </c>
      <c r="E297" s="1" t="s">
        <v>32</v>
      </c>
      <c r="F297" s="1" t="s">
        <v>33</v>
      </c>
      <c r="G297" s="1">
        <v>26</v>
      </c>
      <c r="H297" s="1">
        <v>22265</v>
      </c>
      <c r="I297" s="1">
        <v>578890</v>
      </c>
      <c r="J297" s="1">
        <v>9614</v>
      </c>
      <c r="K297" s="1">
        <v>569276</v>
      </c>
      <c r="L297" s="1">
        <v>569276</v>
      </c>
      <c r="M297" s="1" t="s">
        <v>84</v>
      </c>
      <c r="N297" s="1" t="s">
        <v>101</v>
      </c>
      <c r="O297" s="1" t="s">
        <v>108</v>
      </c>
      <c r="P297" s="1" t="s">
        <v>27</v>
      </c>
      <c r="Q297" s="1">
        <v>2024</v>
      </c>
      <c r="R297" s="1">
        <v>8</v>
      </c>
      <c r="S297" s="1" t="s">
        <v>56</v>
      </c>
    </row>
    <row r="298" spans="1:19" x14ac:dyDescent="0.35">
      <c r="A298" s="1" t="s">
        <v>809</v>
      </c>
      <c r="B298" s="2">
        <v>45529</v>
      </c>
      <c r="C298" s="1" t="s">
        <v>162</v>
      </c>
      <c r="D298" s="1" t="s">
        <v>669</v>
      </c>
      <c r="E298" s="1" t="s">
        <v>53</v>
      </c>
      <c r="F298" s="1" t="s">
        <v>33</v>
      </c>
      <c r="G298" s="1">
        <v>26</v>
      </c>
      <c r="H298" s="1">
        <v>24486</v>
      </c>
      <c r="I298" s="1">
        <v>636636</v>
      </c>
      <c r="J298" s="1">
        <v>118244</v>
      </c>
      <c r="K298" s="1">
        <v>518392</v>
      </c>
      <c r="L298" s="1">
        <v>518392</v>
      </c>
      <c r="M298" s="1" t="s">
        <v>84</v>
      </c>
      <c r="N298" s="1" t="s">
        <v>48</v>
      </c>
      <c r="O298" s="1" t="s">
        <v>49</v>
      </c>
      <c r="P298" s="1" t="s">
        <v>27</v>
      </c>
      <c r="Q298" s="1">
        <v>2024</v>
      </c>
      <c r="R298" s="1">
        <v>8</v>
      </c>
      <c r="S298" s="1" t="s">
        <v>56</v>
      </c>
    </row>
    <row r="299" spans="1:19" x14ac:dyDescent="0.35">
      <c r="A299" s="1" t="s">
        <v>810</v>
      </c>
      <c r="B299" s="2">
        <v>44955</v>
      </c>
      <c r="C299" s="1" t="s">
        <v>789</v>
      </c>
      <c r="D299" s="1" t="s">
        <v>811</v>
      </c>
      <c r="E299" s="1" t="s">
        <v>60</v>
      </c>
      <c r="F299" s="1" t="s">
        <v>46</v>
      </c>
      <c r="G299" s="1">
        <v>17</v>
      </c>
      <c r="H299" s="1">
        <v>21253</v>
      </c>
      <c r="I299" s="1">
        <v>361301</v>
      </c>
      <c r="J299" s="1">
        <v>42721</v>
      </c>
      <c r="K299" s="1">
        <v>318580</v>
      </c>
      <c r="L299" s="1">
        <v>318580</v>
      </c>
      <c r="M299" s="1" t="s">
        <v>24</v>
      </c>
      <c r="N299" s="1" t="s">
        <v>61</v>
      </c>
      <c r="O299" s="1" t="s">
        <v>62</v>
      </c>
      <c r="P299" s="1" t="s">
        <v>27</v>
      </c>
      <c r="Q299" s="1">
        <v>2023</v>
      </c>
      <c r="R299" s="1">
        <v>1</v>
      </c>
      <c r="S299" s="1" t="s">
        <v>68</v>
      </c>
    </row>
    <row r="300" spans="1:19" x14ac:dyDescent="0.35">
      <c r="A300" s="1" t="s">
        <v>812</v>
      </c>
      <c r="B300" s="2">
        <v>45597</v>
      </c>
      <c r="C300" s="1" t="s">
        <v>224</v>
      </c>
      <c r="D300" s="1" t="s">
        <v>813</v>
      </c>
      <c r="E300" s="1" t="s">
        <v>53</v>
      </c>
      <c r="F300" s="1" t="s">
        <v>33</v>
      </c>
      <c r="G300" s="1">
        <v>17</v>
      </c>
      <c r="H300" s="1">
        <v>42496</v>
      </c>
      <c r="I300" s="1">
        <v>722432</v>
      </c>
      <c r="J300" s="1">
        <v>34325</v>
      </c>
      <c r="K300" s="1">
        <v>688107</v>
      </c>
      <c r="L300" s="1">
        <v>688107</v>
      </c>
      <c r="M300" s="1" t="s">
        <v>47</v>
      </c>
      <c r="N300" s="1" t="s">
        <v>54</v>
      </c>
      <c r="O300" s="1" t="s">
        <v>55</v>
      </c>
      <c r="P300" s="1" t="s">
        <v>27</v>
      </c>
      <c r="Q300" s="1">
        <v>2024</v>
      </c>
      <c r="R300" s="1">
        <v>11</v>
      </c>
      <c r="S300" s="1" t="s">
        <v>28</v>
      </c>
    </row>
    <row r="301" spans="1:19" x14ac:dyDescent="0.35">
      <c r="A301" s="1" t="s">
        <v>814</v>
      </c>
      <c r="B301" s="2">
        <v>44503</v>
      </c>
      <c r="C301" s="1" t="s">
        <v>815</v>
      </c>
      <c r="D301" s="1" t="s">
        <v>816</v>
      </c>
      <c r="E301" s="1" t="s">
        <v>79</v>
      </c>
      <c r="F301" s="1" t="s">
        <v>23</v>
      </c>
      <c r="G301" s="1">
        <v>2</v>
      </c>
      <c r="H301" s="1">
        <v>32964</v>
      </c>
      <c r="I301" s="1">
        <v>65928</v>
      </c>
      <c r="J301" s="1">
        <v>6894</v>
      </c>
      <c r="K301" s="1">
        <v>59034</v>
      </c>
      <c r="L301" s="1">
        <v>59034</v>
      </c>
      <c r="M301" s="1" t="s">
        <v>47</v>
      </c>
      <c r="N301" s="1" t="s">
        <v>101</v>
      </c>
      <c r="O301" s="1" t="s">
        <v>102</v>
      </c>
      <c r="P301" s="1" t="s">
        <v>27</v>
      </c>
      <c r="Q301" s="1">
        <v>2021</v>
      </c>
      <c r="R301" s="1">
        <v>11</v>
      </c>
      <c r="S301" s="1" t="s">
        <v>28</v>
      </c>
    </row>
    <row r="302" spans="1:19" x14ac:dyDescent="0.35">
      <c r="A302" s="1" t="s">
        <v>817</v>
      </c>
      <c r="B302" s="2">
        <v>43658</v>
      </c>
      <c r="C302" s="1" t="s">
        <v>434</v>
      </c>
      <c r="D302" s="1" t="s">
        <v>818</v>
      </c>
      <c r="E302" s="1" t="s">
        <v>22</v>
      </c>
      <c r="F302" s="1" t="s">
        <v>23</v>
      </c>
      <c r="G302" s="1">
        <v>28</v>
      </c>
      <c r="H302" s="1">
        <v>1802</v>
      </c>
      <c r="I302" s="1">
        <v>50456</v>
      </c>
      <c r="J302" s="1">
        <v>1887</v>
      </c>
      <c r="K302" s="1">
        <v>48569</v>
      </c>
      <c r="L302" s="1">
        <v>48569</v>
      </c>
      <c r="M302" s="1" t="s">
        <v>84</v>
      </c>
      <c r="N302" s="1" t="s">
        <v>40</v>
      </c>
      <c r="O302" s="1" t="s">
        <v>41</v>
      </c>
      <c r="P302" s="1" t="s">
        <v>27</v>
      </c>
      <c r="Q302" s="1">
        <v>2019</v>
      </c>
      <c r="R302" s="1">
        <v>7</v>
      </c>
      <c r="S302" s="1" t="s">
        <v>56</v>
      </c>
    </row>
    <row r="303" spans="1:19" x14ac:dyDescent="0.35">
      <c r="A303" s="1" t="s">
        <v>819</v>
      </c>
      <c r="B303" s="2">
        <v>45054</v>
      </c>
      <c r="C303" s="1" t="s">
        <v>820</v>
      </c>
      <c r="D303" s="1" t="s">
        <v>763</v>
      </c>
      <c r="E303" s="1" t="s">
        <v>22</v>
      </c>
      <c r="F303" s="1" t="s">
        <v>23</v>
      </c>
      <c r="G303" s="1">
        <v>3</v>
      </c>
      <c r="H303" s="1">
        <v>27423</v>
      </c>
      <c r="I303" s="1">
        <v>82269</v>
      </c>
      <c r="J303" s="1">
        <v>5162</v>
      </c>
      <c r="K303" s="1">
        <v>77107</v>
      </c>
      <c r="L303" s="1">
        <v>77107</v>
      </c>
      <c r="M303" s="1" t="s">
        <v>66</v>
      </c>
      <c r="N303" s="1" t="s">
        <v>25</v>
      </c>
      <c r="O303" s="1" t="s">
        <v>26</v>
      </c>
      <c r="P303" s="1" t="s">
        <v>27</v>
      </c>
      <c r="Q303" s="1">
        <v>2023</v>
      </c>
      <c r="R303" s="1">
        <v>5</v>
      </c>
      <c r="S303" s="1" t="s">
        <v>35</v>
      </c>
    </row>
    <row r="304" spans="1:19" x14ac:dyDescent="0.35">
      <c r="A304" s="1" t="s">
        <v>821</v>
      </c>
      <c r="B304" s="2">
        <v>45257</v>
      </c>
      <c r="C304" s="1" t="s">
        <v>571</v>
      </c>
      <c r="D304" s="1" t="s">
        <v>372</v>
      </c>
      <c r="E304" s="1" t="s">
        <v>22</v>
      </c>
      <c r="F304" s="1" t="s">
        <v>23</v>
      </c>
      <c r="G304" s="1">
        <v>30</v>
      </c>
      <c r="H304" s="1">
        <v>10767</v>
      </c>
      <c r="I304" s="1">
        <v>323010</v>
      </c>
      <c r="J304" s="1">
        <v>52878</v>
      </c>
      <c r="K304" s="1">
        <v>270132</v>
      </c>
      <c r="L304" s="1">
        <v>270132</v>
      </c>
      <c r="M304" s="1" t="s">
        <v>84</v>
      </c>
      <c r="N304" s="1" t="s">
        <v>40</v>
      </c>
      <c r="O304" s="1" t="s">
        <v>41</v>
      </c>
      <c r="P304" s="1" t="s">
        <v>27</v>
      </c>
      <c r="Q304" s="1">
        <v>2023</v>
      </c>
      <c r="R304" s="1">
        <v>11</v>
      </c>
      <c r="S304" s="1" t="s">
        <v>28</v>
      </c>
    </row>
    <row r="305" spans="1:19" x14ac:dyDescent="0.35">
      <c r="A305" s="1" t="s">
        <v>822</v>
      </c>
      <c r="B305" s="2">
        <v>45215</v>
      </c>
      <c r="C305" s="1" t="s">
        <v>823</v>
      </c>
      <c r="D305" s="1" t="s">
        <v>824</v>
      </c>
      <c r="E305" s="1" t="s">
        <v>60</v>
      </c>
      <c r="F305" s="1" t="s">
        <v>46</v>
      </c>
      <c r="G305" s="1">
        <v>26</v>
      </c>
      <c r="H305" s="1">
        <v>59348</v>
      </c>
      <c r="I305" s="1">
        <v>1543048</v>
      </c>
      <c r="J305" s="1">
        <v>73611</v>
      </c>
      <c r="K305" s="1">
        <v>1469437</v>
      </c>
      <c r="L305" s="1">
        <v>1469437</v>
      </c>
      <c r="M305" s="1" t="s">
        <v>47</v>
      </c>
      <c r="N305" s="1" t="s">
        <v>40</v>
      </c>
      <c r="O305" s="1" t="s">
        <v>75</v>
      </c>
      <c r="P305" s="1" t="s">
        <v>27</v>
      </c>
      <c r="Q305" s="1">
        <v>2023</v>
      </c>
      <c r="R305" s="1">
        <v>10</v>
      </c>
      <c r="S305" s="1" t="s">
        <v>28</v>
      </c>
    </row>
    <row r="306" spans="1:19" x14ac:dyDescent="0.35">
      <c r="A306" s="1" t="s">
        <v>825</v>
      </c>
      <c r="B306" s="2">
        <v>43694</v>
      </c>
      <c r="C306" s="1" t="s">
        <v>227</v>
      </c>
      <c r="D306" s="1" t="s">
        <v>826</v>
      </c>
      <c r="E306" s="1" t="s">
        <v>45</v>
      </c>
      <c r="F306" s="1" t="s">
        <v>46</v>
      </c>
      <c r="G306" s="1">
        <v>2</v>
      </c>
      <c r="H306" s="1">
        <v>15698</v>
      </c>
      <c r="I306" s="1">
        <v>31396</v>
      </c>
      <c r="J306" s="1">
        <v>4966</v>
      </c>
      <c r="K306" s="1">
        <v>26430</v>
      </c>
      <c r="L306" s="1">
        <v>26430</v>
      </c>
      <c r="M306" s="1" t="s">
        <v>84</v>
      </c>
      <c r="N306" s="1" t="s">
        <v>101</v>
      </c>
      <c r="O306" s="1" t="s">
        <v>102</v>
      </c>
      <c r="P306" s="1" t="s">
        <v>27</v>
      </c>
      <c r="Q306" s="1">
        <v>2019</v>
      </c>
      <c r="R306" s="1">
        <v>8</v>
      </c>
      <c r="S306" s="1" t="s">
        <v>56</v>
      </c>
    </row>
    <row r="307" spans="1:19" x14ac:dyDescent="0.35">
      <c r="A307" s="1" t="s">
        <v>827</v>
      </c>
      <c r="B307" s="2">
        <v>45290</v>
      </c>
      <c r="C307" s="1" t="s">
        <v>828</v>
      </c>
      <c r="D307" s="1" t="s">
        <v>541</v>
      </c>
      <c r="E307" s="1" t="s">
        <v>22</v>
      </c>
      <c r="F307" s="1" t="s">
        <v>23</v>
      </c>
      <c r="G307" s="1">
        <v>10</v>
      </c>
      <c r="H307" s="1">
        <v>1437</v>
      </c>
      <c r="I307" s="1">
        <v>14370</v>
      </c>
      <c r="J307" s="1">
        <v>2622</v>
      </c>
      <c r="K307" s="1">
        <v>11748</v>
      </c>
      <c r="L307" s="1">
        <v>11748</v>
      </c>
      <c r="M307" s="1" t="s">
        <v>84</v>
      </c>
      <c r="N307" s="1" t="s">
        <v>54</v>
      </c>
      <c r="O307" s="1" t="s">
        <v>67</v>
      </c>
      <c r="P307" s="1" t="s">
        <v>27</v>
      </c>
      <c r="Q307" s="1">
        <v>2023</v>
      </c>
      <c r="R307" s="1">
        <v>12</v>
      </c>
      <c r="S307" s="1" t="s">
        <v>28</v>
      </c>
    </row>
    <row r="308" spans="1:19" x14ac:dyDescent="0.35">
      <c r="A308" s="1" t="s">
        <v>829</v>
      </c>
      <c r="B308" s="2">
        <v>45193</v>
      </c>
      <c r="C308" s="1" t="s">
        <v>830</v>
      </c>
      <c r="D308" s="1" t="s">
        <v>831</v>
      </c>
      <c r="E308" s="1" t="s">
        <v>60</v>
      </c>
      <c r="F308" s="1" t="s">
        <v>46</v>
      </c>
      <c r="G308" s="1">
        <v>18</v>
      </c>
      <c r="H308" s="1">
        <v>47048</v>
      </c>
      <c r="I308" s="1">
        <v>846864</v>
      </c>
      <c r="J308" s="1">
        <v>81847</v>
      </c>
      <c r="K308" s="1">
        <v>765017</v>
      </c>
      <c r="L308" s="1">
        <v>765017</v>
      </c>
      <c r="M308" s="1" t="s">
        <v>39</v>
      </c>
      <c r="N308" s="1" t="s">
        <v>101</v>
      </c>
      <c r="O308" s="1" t="s">
        <v>108</v>
      </c>
      <c r="P308" s="1" t="s">
        <v>27</v>
      </c>
      <c r="Q308" s="1">
        <v>2023</v>
      </c>
      <c r="R308" s="1">
        <v>9</v>
      </c>
      <c r="S308" s="1" t="s">
        <v>56</v>
      </c>
    </row>
    <row r="309" spans="1:19" x14ac:dyDescent="0.35">
      <c r="A309" s="1" t="s">
        <v>832</v>
      </c>
      <c r="B309" s="2">
        <v>44878</v>
      </c>
      <c r="C309" s="1" t="s">
        <v>833</v>
      </c>
      <c r="D309" s="1" t="s">
        <v>834</v>
      </c>
      <c r="E309" s="1" t="s">
        <v>22</v>
      </c>
      <c r="F309" s="1" t="s">
        <v>23</v>
      </c>
      <c r="G309" s="1">
        <v>6</v>
      </c>
      <c r="H309" s="1">
        <v>37653</v>
      </c>
      <c r="I309" s="1">
        <v>225918</v>
      </c>
      <c r="J309" s="1">
        <v>9</v>
      </c>
      <c r="K309" s="1">
        <v>225909</v>
      </c>
      <c r="L309" s="1">
        <v>225909</v>
      </c>
      <c r="M309" s="1" t="s">
        <v>39</v>
      </c>
      <c r="N309" s="1" t="s">
        <v>61</v>
      </c>
      <c r="O309" s="1" t="s">
        <v>62</v>
      </c>
      <c r="P309" s="1" t="s">
        <v>27</v>
      </c>
      <c r="Q309" s="1">
        <v>2022</v>
      </c>
      <c r="R309" s="1">
        <v>11</v>
      </c>
      <c r="S309" s="1" t="s">
        <v>28</v>
      </c>
    </row>
    <row r="310" spans="1:19" x14ac:dyDescent="0.35">
      <c r="A310" s="1" t="s">
        <v>835</v>
      </c>
      <c r="B310" s="2">
        <v>43778</v>
      </c>
      <c r="C310" s="1" t="s">
        <v>215</v>
      </c>
      <c r="D310" s="1" t="s">
        <v>21</v>
      </c>
      <c r="E310" s="1" t="s">
        <v>124</v>
      </c>
      <c r="F310" s="1" t="s">
        <v>107</v>
      </c>
      <c r="G310" s="1">
        <v>27</v>
      </c>
      <c r="H310" s="1">
        <v>55356</v>
      </c>
      <c r="I310" s="1">
        <v>1494612</v>
      </c>
      <c r="J310" s="1">
        <v>65663</v>
      </c>
      <c r="K310" s="1">
        <v>1428949</v>
      </c>
      <c r="L310" s="1">
        <v>1428949</v>
      </c>
      <c r="M310" s="1" t="s">
        <v>24</v>
      </c>
      <c r="N310" s="1" t="s">
        <v>61</v>
      </c>
      <c r="O310" s="1" t="s">
        <v>62</v>
      </c>
      <c r="P310" s="1" t="s">
        <v>27</v>
      </c>
      <c r="Q310" s="1">
        <v>2019</v>
      </c>
      <c r="R310" s="1">
        <v>11</v>
      </c>
      <c r="S310" s="1" t="s">
        <v>28</v>
      </c>
    </row>
    <row r="311" spans="1:19" x14ac:dyDescent="0.35">
      <c r="A311" s="1" t="s">
        <v>836</v>
      </c>
      <c r="B311" s="2">
        <v>44221</v>
      </c>
      <c r="C311" s="1" t="s">
        <v>315</v>
      </c>
      <c r="D311" s="1" t="s">
        <v>802</v>
      </c>
      <c r="E311" s="1" t="s">
        <v>53</v>
      </c>
      <c r="F311" s="1" t="s">
        <v>33</v>
      </c>
      <c r="G311" s="1">
        <v>24</v>
      </c>
      <c r="H311" s="1">
        <v>7898</v>
      </c>
      <c r="I311" s="1">
        <v>189552</v>
      </c>
      <c r="J311" s="1">
        <v>34972</v>
      </c>
      <c r="K311" s="1">
        <v>154580</v>
      </c>
      <c r="L311" s="1">
        <v>154580</v>
      </c>
      <c r="M311" s="1" t="s">
        <v>24</v>
      </c>
      <c r="N311" s="1" t="s">
        <v>101</v>
      </c>
      <c r="O311" s="1" t="s">
        <v>102</v>
      </c>
      <c r="P311" s="1" t="s">
        <v>27</v>
      </c>
      <c r="Q311" s="1">
        <v>2021</v>
      </c>
      <c r="R311" s="1">
        <v>1</v>
      </c>
      <c r="S311" s="1" t="s">
        <v>68</v>
      </c>
    </row>
    <row r="312" spans="1:19" x14ac:dyDescent="0.35">
      <c r="A312" s="1" t="s">
        <v>837</v>
      </c>
      <c r="B312" s="2">
        <v>45116</v>
      </c>
      <c r="C312" s="1" t="s">
        <v>86</v>
      </c>
      <c r="D312" s="1" t="s">
        <v>744</v>
      </c>
      <c r="E312" s="1" t="s">
        <v>45</v>
      </c>
      <c r="F312" s="1" t="s">
        <v>46</v>
      </c>
      <c r="G312" s="1">
        <v>24</v>
      </c>
      <c r="H312" s="1">
        <v>6325</v>
      </c>
      <c r="I312" s="1">
        <v>151800</v>
      </c>
      <c r="J312" s="1">
        <v>6053</v>
      </c>
      <c r="K312" s="1">
        <v>145747</v>
      </c>
      <c r="L312" s="1">
        <v>145747</v>
      </c>
      <c r="M312" s="1" t="s">
        <v>39</v>
      </c>
      <c r="N312" s="1" t="s">
        <v>54</v>
      </c>
      <c r="O312" s="1" t="s">
        <v>55</v>
      </c>
      <c r="P312" s="1" t="s">
        <v>27</v>
      </c>
      <c r="Q312" s="1">
        <v>2023</v>
      </c>
      <c r="R312" s="1">
        <v>7</v>
      </c>
      <c r="S312" s="1" t="s">
        <v>56</v>
      </c>
    </row>
    <row r="313" spans="1:19" x14ac:dyDescent="0.35">
      <c r="A313" s="1" t="s">
        <v>838</v>
      </c>
      <c r="B313" s="2">
        <v>45505</v>
      </c>
      <c r="C313" s="1" t="s">
        <v>839</v>
      </c>
      <c r="D313" s="1" t="s">
        <v>840</v>
      </c>
      <c r="E313" s="1" t="s">
        <v>79</v>
      </c>
      <c r="F313" s="1" t="s">
        <v>23</v>
      </c>
      <c r="G313" s="1">
        <v>9</v>
      </c>
      <c r="H313" s="1">
        <v>15458</v>
      </c>
      <c r="I313" s="1">
        <v>139122</v>
      </c>
      <c r="J313" s="1">
        <v>22053</v>
      </c>
      <c r="K313" s="1">
        <v>117069</v>
      </c>
      <c r="L313" s="1">
        <v>117069</v>
      </c>
      <c r="M313" s="1" t="s">
        <v>47</v>
      </c>
      <c r="N313" s="1" t="s">
        <v>40</v>
      </c>
      <c r="O313" s="1" t="s">
        <v>125</v>
      </c>
      <c r="P313" s="1" t="s">
        <v>27</v>
      </c>
      <c r="Q313" s="1">
        <v>2024</v>
      </c>
      <c r="R313" s="1">
        <v>8</v>
      </c>
      <c r="S313" s="1" t="s">
        <v>56</v>
      </c>
    </row>
    <row r="314" spans="1:19" x14ac:dyDescent="0.35">
      <c r="A314" s="1" t="s">
        <v>841</v>
      </c>
      <c r="B314" s="2">
        <v>45114</v>
      </c>
      <c r="C314" s="1" t="s">
        <v>652</v>
      </c>
      <c r="D314" s="1" t="s">
        <v>826</v>
      </c>
      <c r="E314" s="1" t="s">
        <v>53</v>
      </c>
      <c r="F314" s="1" t="s">
        <v>33</v>
      </c>
      <c r="G314" s="1">
        <v>2</v>
      </c>
      <c r="H314" s="1">
        <v>21167</v>
      </c>
      <c r="I314" s="1">
        <v>42334</v>
      </c>
      <c r="J314" s="1">
        <v>5419</v>
      </c>
      <c r="K314" s="1">
        <v>36915</v>
      </c>
      <c r="L314" s="1">
        <v>36915</v>
      </c>
      <c r="M314" s="1" t="s">
        <v>66</v>
      </c>
      <c r="N314" s="1" t="s">
        <v>48</v>
      </c>
      <c r="O314" s="1" t="s">
        <v>49</v>
      </c>
      <c r="P314" s="1" t="s">
        <v>27</v>
      </c>
      <c r="Q314" s="1">
        <v>2023</v>
      </c>
      <c r="R314" s="1">
        <v>7</v>
      </c>
      <c r="S314" s="1" t="s">
        <v>56</v>
      </c>
    </row>
    <row r="315" spans="1:19" x14ac:dyDescent="0.35">
      <c r="A315" s="1" t="s">
        <v>842</v>
      </c>
      <c r="B315" s="2">
        <v>44569</v>
      </c>
      <c r="C315" s="1" t="s">
        <v>843</v>
      </c>
      <c r="D315" s="1" t="s">
        <v>844</v>
      </c>
      <c r="E315" s="1" t="s">
        <v>22</v>
      </c>
      <c r="F315" s="1" t="s">
        <v>23</v>
      </c>
      <c r="G315" s="1">
        <v>27</v>
      </c>
      <c r="H315" s="1">
        <v>8202</v>
      </c>
      <c r="I315" s="1">
        <v>221454</v>
      </c>
      <c r="J315" s="1">
        <v>36270</v>
      </c>
      <c r="K315" s="1">
        <v>185184</v>
      </c>
      <c r="L315" s="1">
        <v>185184</v>
      </c>
      <c r="M315" s="1" t="s">
        <v>34</v>
      </c>
      <c r="N315" s="1" t="s">
        <v>61</v>
      </c>
      <c r="O315" s="1" t="s">
        <v>88</v>
      </c>
      <c r="P315" s="1" t="s">
        <v>27</v>
      </c>
      <c r="Q315" s="1">
        <v>2022</v>
      </c>
      <c r="R315" s="1">
        <v>1</v>
      </c>
      <c r="S315" s="1" t="s">
        <v>68</v>
      </c>
    </row>
    <row r="316" spans="1:19" x14ac:dyDescent="0.35">
      <c r="A316" s="1" t="s">
        <v>845</v>
      </c>
      <c r="B316" s="2">
        <v>44468</v>
      </c>
      <c r="C316" s="1" t="s">
        <v>846</v>
      </c>
      <c r="D316" s="1" t="s">
        <v>294</v>
      </c>
      <c r="E316" s="1" t="s">
        <v>60</v>
      </c>
      <c r="F316" s="1" t="s">
        <v>46</v>
      </c>
      <c r="G316" s="1">
        <v>6</v>
      </c>
      <c r="H316" s="1">
        <v>34346</v>
      </c>
      <c r="I316" s="1">
        <v>206076</v>
      </c>
      <c r="J316" s="1">
        <v>35651</v>
      </c>
      <c r="K316" s="1">
        <v>170425</v>
      </c>
      <c r="L316" s="1">
        <v>170425</v>
      </c>
      <c r="M316" s="1" t="s">
        <v>66</v>
      </c>
      <c r="N316" s="1" t="s">
        <v>61</v>
      </c>
      <c r="O316" s="1" t="s">
        <v>88</v>
      </c>
      <c r="P316" s="1" t="s">
        <v>27</v>
      </c>
      <c r="Q316" s="1">
        <v>2021</v>
      </c>
      <c r="R316" s="1">
        <v>9</v>
      </c>
      <c r="S316" s="1" t="s">
        <v>56</v>
      </c>
    </row>
    <row r="317" spans="1:19" x14ac:dyDescent="0.35">
      <c r="A317" s="1" t="s">
        <v>847</v>
      </c>
      <c r="B317" s="2">
        <v>43878</v>
      </c>
      <c r="C317" s="1" t="s">
        <v>848</v>
      </c>
      <c r="D317" s="1" t="s">
        <v>849</v>
      </c>
      <c r="E317" s="1" t="s">
        <v>124</v>
      </c>
      <c r="F317" s="1" t="s">
        <v>107</v>
      </c>
      <c r="G317" s="1">
        <v>6</v>
      </c>
      <c r="H317" s="1">
        <v>28403</v>
      </c>
      <c r="I317" s="1">
        <v>170418</v>
      </c>
      <c r="J317" s="1">
        <v>32380</v>
      </c>
      <c r="K317" s="1">
        <v>138038</v>
      </c>
      <c r="L317" s="1">
        <v>138038</v>
      </c>
      <c r="M317" s="1" t="s">
        <v>34</v>
      </c>
      <c r="N317" s="1" t="s">
        <v>61</v>
      </c>
      <c r="O317" s="1" t="s">
        <v>62</v>
      </c>
      <c r="P317" s="1" t="s">
        <v>27</v>
      </c>
      <c r="Q317" s="1">
        <v>2020</v>
      </c>
      <c r="R317" s="1">
        <v>2</v>
      </c>
      <c r="S317" s="1" t="s">
        <v>68</v>
      </c>
    </row>
    <row r="318" spans="1:19" x14ac:dyDescent="0.35">
      <c r="A318" s="1" t="s">
        <v>850</v>
      </c>
      <c r="B318" s="2">
        <v>44813</v>
      </c>
      <c r="C318" s="1" t="s">
        <v>673</v>
      </c>
      <c r="D318" s="1" t="s">
        <v>447</v>
      </c>
      <c r="E318" s="1" t="s">
        <v>32</v>
      </c>
      <c r="F318" s="1" t="s">
        <v>33</v>
      </c>
      <c r="G318" s="1">
        <v>25</v>
      </c>
      <c r="H318" s="1">
        <v>38992</v>
      </c>
      <c r="I318" s="1">
        <v>974800</v>
      </c>
      <c r="J318" s="1">
        <v>111212</v>
      </c>
      <c r="K318" s="1">
        <v>863588</v>
      </c>
      <c r="L318" s="1">
        <v>863588</v>
      </c>
      <c r="M318" s="1" t="s">
        <v>66</v>
      </c>
      <c r="N318" s="1" t="s">
        <v>48</v>
      </c>
      <c r="O318" s="1" t="s">
        <v>49</v>
      </c>
      <c r="P318" s="1" t="s">
        <v>27</v>
      </c>
      <c r="Q318" s="1">
        <v>2022</v>
      </c>
      <c r="R318" s="1">
        <v>9</v>
      </c>
      <c r="S318" s="1" t="s">
        <v>56</v>
      </c>
    </row>
    <row r="319" spans="1:19" x14ac:dyDescent="0.35">
      <c r="A319" s="1" t="s">
        <v>851</v>
      </c>
      <c r="B319" s="2">
        <v>44421</v>
      </c>
      <c r="C319" s="1" t="s">
        <v>852</v>
      </c>
      <c r="D319" s="1" t="s">
        <v>853</v>
      </c>
      <c r="E319" s="1" t="s">
        <v>60</v>
      </c>
      <c r="F319" s="1" t="s">
        <v>46</v>
      </c>
      <c r="G319" s="1">
        <v>18</v>
      </c>
      <c r="H319" s="1">
        <v>28978</v>
      </c>
      <c r="I319" s="1">
        <v>521604</v>
      </c>
      <c r="J319" s="1">
        <v>32337</v>
      </c>
      <c r="K319" s="1">
        <v>489267</v>
      </c>
      <c r="L319" s="1">
        <v>489267</v>
      </c>
      <c r="M319" s="1" t="s">
        <v>34</v>
      </c>
      <c r="N319" s="1" t="s">
        <v>61</v>
      </c>
      <c r="O319" s="1" t="s">
        <v>88</v>
      </c>
      <c r="P319" s="1" t="s">
        <v>27</v>
      </c>
      <c r="Q319" s="1">
        <v>2021</v>
      </c>
      <c r="R319" s="1">
        <v>8</v>
      </c>
      <c r="S319" s="1" t="s">
        <v>56</v>
      </c>
    </row>
    <row r="320" spans="1:19" x14ac:dyDescent="0.35">
      <c r="A320" s="1" t="s">
        <v>854</v>
      </c>
      <c r="B320" s="2">
        <v>44054</v>
      </c>
      <c r="C320" s="1" t="s">
        <v>855</v>
      </c>
      <c r="D320" s="1" t="s">
        <v>824</v>
      </c>
      <c r="E320" s="1" t="s">
        <v>53</v>
      </c>
      <c r="F320" s="1" t="s">
        <v>33</v>
      </c>
      <c r="G320" s="1">
        <v>29</v>
      </c>
      <c r="H320" s="1">
        <v>41669</v>
      </c>
      <c r="I320" s="1">
        <v>1208401</v>
      </c>
      <c r="J320" s="1">
        <v>150664</v>
      </c>
      <c r="K320" s="1">
        <v>1057737</v>
      </c>
      <c r="L320" s="1">
        <v>1057737</v>
      </c>
      <c r="M320" s="1" t="s">
        <v>34</v>
      </c>
      <c r="N320" s="1" t="s">
        <v>101</v>
      </c>
      <c r="O320" s="1" t="s">
        <v>102</v>
      </c>
      <c r="P320" s="1" t="s">
        <v>27</v>
      </c>
      <c r="Q320" s="1">
        <v>2020</v>
      </c>
      <c r="R320" s="1">
        <v>8</v>
      </c>
      <c r="S320" s="1" t="s">
        <v>56</v>
      </c>
    </row>
    <row r="321" spans="1:19" x14ac:dyDescent="0.35">
      <c r="A321" s="1" t="s">
        <v>856</v>
      </c>
      <c r="B321" s="2">
        <v>44343</v>
      </c>
      <c r="C321" s="1" t="s">
        <v>527</v>
      </c>
      <c r="D321" s="1" t="s">
        <v>663</v>
      </c>
      <c r="E321" s="1" t="s">
        <v>22</v>
      </c>
      <c r="F321" s="1" t="s">
        <v>23</v>
      </c>
      <c r="G321" s="1">
        <v>24</v>
      </c>
      <c r="H321" s="1">
        <v>57384</v>
      </c>
      <c r="I321" s="1">
        <v>1377216</v>
      </c>
      <c r="J321" s="1">
        <v>167755</v>
      </c>
      <c r="K321" s="1">
        <v>1209461</v>
      </c>
      <c r="L321" s="1">
        <v>1209461</v>
      </c>
      <c r="M321" s="1" t="s">
        <v>39</v>
      </c>
      <c r="N321" s="1" t="s">
        <v>61</v>
      </c>
      <c r="O321" s="1" t="s">
        <v>62</v>
      </c>
      <c r="P321" s="1" t="s">
        <v>27</v>
      </c>
      <c r="Q321" s="1">
        <v>2021</v>
      </c>
      <c r="R321" s="1">
        <v>5</v>
      </c>
      <c r="S321" s="1" t="s">
        <v>35</v>
      </c>
    </row>
    <row r="322" spans="1:19" x14ac:dyDescent="0.35">
      <c r="A322" s="1" t="s">
        <v>857</v>
      </c>
      <c r="B322" s="2">
        <v>44678</v>
      </c>
      <c r="C322" s="1" t="s">
        <v>290</v>
      </c>
      <c r="D322" s="1" t="s">
        <v>557</v>
      </c>
      <c r="E322" s="1" t="s">
        <v>79</v>
      </c>
      <c r="F322" s="1" t="s">
        <v>23</v>
      </c>
      <c r="G322" s="1">
        <v>6</v>
      </c>
      <c r="H322" s="1">
        <v>2199</v>
      </c>
      <c r="I322" s="1">
        <v>13194</v>
      </c>
      <c r="J322" s="1">
        <v>1022</v>
      </c>
      <c r="K322" s="1">
        <v>12172</v>
      </c>
      <c r="L322" s="1">
        <v>12172</v>
      </c>
      <c r="M322" s="1" t="s">
        <v>47</v>
      </c>
      <c r="N322" s="1" t="s">
        <v>54</v>
      </c>
      <c r="O322" s="1" t="s">
        <v>55</v>
      </c>
      <c r="P322" s="1" t="s">
        <v>27</v>
      </c>
      <c r="Q322" s="1">
        <v>2022</v>
      </c>
      <c r="R322" s="1">
        <v>4</v>
      </c>
      <c r="S322" s="1" t="s">
        <v>35</v>
      </c>
    </row>
    <row r="323" spans="1:19" x14ac:dyDescent="0.35">
      <c r="A323" s="1" t="s">
        <v>858</v>
      </c>
      <c r="B323" s="2">
        <v>43749</v>
      </c>
      <c r="C323" s="1" t="s">
        <v>859</v>
      </c>
      <c r="D323" s="1" t="s">
        <v>313</v>
      </c>
      <c r="E323" s="1" t="s">
        <v>45</v>
      </c>
      <c r="F323" s="1" t="s">
        <v>46</v>
      </c>
      <c r="G323" s="1">
        <v>3</v>
      </c>
      <c r="H323" s="1">
        <v>21538</v>
      </c>
      <c r="I323" s="1">
        <v>64614</v>
      </c>
      <c r="J323" s="1">
        <v>11247</v>
      </c>
      <c r="K323" s="1">
        <v>53367</v>
      </c>
      <c r="L323" s="1">
        <v>53367</v>
      </c>
      <c r="M323" s="1" t="s">
        <v>47</v>
      </c>
      <c r="N323" s="1" t="s">
        <v>48</v>
      </c>
      <c r="O323" s="1" t="s">
        <v>49</v>
      </c>
      <c r="P323" s="1" t="s">
        <v>27</v>
      </c>
      <c r="Q323" s="1">
        <v>2019</v>
      </c>
      <c r="R323" s="1">
        <v>10</v>
      </c>
      <c r="S323" s="1" t="s">
        <v>28</v>
      </c>
    </row>
    <row r="324" spans="1:19" x14ac:dyDescent="0.35">
      <c r="A324" s="1" t="s">
        <v>860</v>
      </c>
      <c r="B324" s="2">
        <v>43612</v>
      </c>
      <c r="C324" s="1" t="s">
        <v>820</v>
      </c>
      <c r="D324" s="1" t="s">
        <v>74</v>
      </c>
      <c r="E324" s="1" t="s">
        <v>32</v>
      </c>
      <c r="F324" s="1" t="s">
        <v>33</v>
      </c>
      <c r="G324" s="1">
        <v>19</v>
      </c>
      <c r="H324" s="1">
        <v>15049</v>
      </c>
      <c r="I324" s="1">
        <v>285931</v>
      </c>
      <c r="J324" s="1">
        <v>6259</v>
      </c>
      <c r="K324" s="1">
        <v>279672</v>
      </c>
      <c r="L324" s="1">
        <v>279672</v>
      </c>
      <c r="M324" s="1" t="s">
        <v>34</v>
      </c>
      <c r="N324" s="1" t="s">
        <v>61</v>
      </c>
      <c r="O324" s="1" t="s">
        <v>88</v>
      </c>
      <c r="P324" s="1" t="s">
        <v>27</v>
      </c>
      <c r="Q324" s="1">
        <v>2019</v>
      </c>
      <c r="R324" s="1">
        <v>5</v>
      </c>
      <c r="S324" s="1" t="s">
        <v>35</v>
      </c>
    </row>
    <row r="325" spans="1:19" x14ac:dyDescent="0.35">
      <c r="A325" s="1" t="s">
        <v>861</v>
      </c>
      <c r="B325" s="2">
        <v>43720</v>
      </c>
      <c r="C325" s="1" t="s">
        <v>862</v>
      </c>
      <c r="D325" s="1" t="s">
        <v>863</v>
      </c>
      <c r="E325" s="1" t="s">
        <v>124</v>
      </c>
      <c r="F325" s="1" t="s">
        <v>107</v>
      </c>
      <c r="G325" s="1">
        <v>26</v>
      </c>
      <c r="H325" s="1">
        <v>2873</v>
      </c>
      <c r="I325" s="1">
        <v>74698</v>
      </c>
      <c r="J325" s="1">
        <v>14890</v>
      </c>
      <c r="K325" s="1">
        <v>59808</v>
      </c>
      <c r="L325" s="1">
        <v>59808</v>
      </c>
      <c r="M325" s="1" t="s">
        <v>39</v>
      </c>
      <c r="N325" s="1" t="s">
        <v>54</v>
      </c>
      <c r="O325" s="1" t="s">
        <v>67</v>
      </c>
      <c r="P325" s="1" t="s">
        <v>27</v>
      </c>
      <c r="Q325" s="1">
        <v>2019</v>
      </c>
      <c r="R325" s="1">
        <v>9</v>
      </c>
      <c r="S325" s="1" t="s">
        <v>56</v>
      </c>
    </row>
    <row r="326" spans="1:19" x14ac:dyDescent="0.35">
      <c r="A326" s="1" t="s">
        <v>864</v>
      </c>
      <c r="B326" s="2">
        <v>45222</v>
      </c>
      <c r="C326" s="1" t="s">
        <v>865</v>
      </c>
      <c r="D326" s="1" t="s">
        <v>219</v>
      </c>
      <c r="E326" s="1" t="s">
        <v>79</v>
      </c>
      <c r="F326" s="1" t="s">
        <v>23</v>
      </c>
      <c r="G326" s="1">
        <v>7</v>
      </c>
      <c r="H326" s="1">
        <v>14589</v>
      </c>
      <c r="I326" s="1">
        <v>102123</v>
      </c>
      <c r="J326" s="1">
        <v>12384</v>
      </c>
      <c r="K326" s="1">
        <v>89739</v>
      </c>
      <c r="L326" s="1">
        <v>89739</v>
      </c>
      <c r="M326" s="1" t="s">
        <v>34</v>
      </c>
      <c r="N326" s="1" t="s">
        <v>101</v>
      </c>
      <c r="O326" s="1" t="s">
        <v>102</v>
      </c>
      <c r="P326" s="1" t="s">
        <v>27</v>
      </c>
      <c r="Q326" s="1">
        <v>2023</v>
      </c>
      <c r="R326" s="1">
        <v>10</v>
      </c>
      <c r="S326" s="1" t="s">
        <v>28</v>
      </c>
    </row>
    <row r="327" spans="1:19" x14ac:dyDescent="0.35">
      <c r="A327" s="1" t="s">
        <v>866</v>
      </c>
      <c r="B327" s="2">
        <v>44095</v>
      </c>
      <c r="C327" s="1" t="s">
        <v>867</v>
      </c>
      <c r="D327" s="1" t="s">
        <v>868</v>
      </c>
      <c r="E327" s="1" t="s">
        <v>124</v>
      </c>
      <c r="F327" s="1" t="s">
        <v>107</v>
      </c>
      <c r="G327" s="1">
        <v>8</v>
      </c>
      <c r="H327" s="1">
        <v>35238</v>
      </c>
      <c r="I327" s="1">
        <v>281904</v>
      </c>
      <c r="J327" s="1">
        <v>11538</v>
      </c>
      <c r="K327" s="1">
        <v>270366</v>
      </c>
      <c r="L327" s="1">
        <v>270366</v>
      </c>
      <c r="M327" s="1" t="s">
        <v>47</v>
      </c>
      <c r="N327" s="1" t="s">
        <v>101</v>
      </c>
      <c r="O327" s="1" t="s">
        <v>102</v>
      </c>
      <c r="P327" s="1" t="s">
        <v>27</v>
      </c>
      <c r="Q327" s="1">
        <v>2020</v>
      </c>
      <c r="R327" s="1">
        <v>9</v>
      </c>
      <c r="S327" s="1" t="s">
        <v>56</v>
      </c>
    </row>
    <row r="328" spans="1:19" x14ac:dyDescent="0.35">
      <c r="A328" s="1" t="s">
        <v>869</v>
      </c>
      <c r="B328" s="2">
        <v>43740</v>
      </c>
      <c r="C328" s="1" t="s">
        <v>870</v>
      </c>
      <c r="D328" s="1" t="s">
        <v>871</v>
      </c>
      <c r="E328" s="1" t="s">
        <v>124</v>
      </c>
      <c r="F328" s="1" t="s">
        <v>107</v>
      </c>
      <c r="G328" s="1">
        <v>2</v>
      </c>
      <c r="H328" s="1">
        <v>31625</v>
      </c>
      <c r="I328" s="1">
        <v>63250</v>
      </c>
      <c r="J328" s="1">
        <v>11401</v>
      </c>
      <c r="K328" s="1">
        <v>51849</v>
      </c>
      <c r="L328" s="1">
        <v>51849</v>
      </c>
      <c r="M328" s="1" t="s">
        <v>34</v>
      </c>
      <c r="N328" s="1" t="s">
        <v>25</v>
      </c>
      <c r="O328" s="1" t="s">
        <v>26</v>
      </c>
      <c r="P328" s="1" t="s">
        <v>27</v>
      </c>
      <c r="Q328" s="1">
        <v>2019</v>
      </c>
      <c r="R328" s="1">
        <v>10</v>
      </c>
      <c r="S328" s="1" t="s">
        <v>28</v>
      </c>
    </row>
    <row r="329" spans="1:19" x14ac:dyDescent="0.35">
      <c r="A329" s="1" t="s">
        <v>872</v>
      </c>
      <c r="B329" s="2">
        <v>45337</v>
      </c>
      <c r="C329" s="1" t="s">
        <v>517</v>
      </c>
      <c r="D329" s="1" t="s">
        <v>873</v>
      </c>
      <c r="E329" s="1" t="s">
        <v>106</v>
      </c>
      <c r="F329" s="1" t="s">
        <v>107</v>
      </c>
      <c r="G329" s="1">
        <v>6</v>
      </c>
      <c r="H329" s="1">
        <v>47594</v>
      </c>
      <c r="I329" s="1">
        <v>285564</v>
      </c>
      <c r="J329" s="1">
        <v>3023</v>
      </c>
      <c r="K329" s="1">
        <v>282541</v>
      </c>
      <c r="L329" s="1">
        <v>282541</v>
      </c>
      <c r="M329" s="1" t="s">
        <v>34</v>
      </c>
      <c r="N329" s="1" t="s">
        <v>40</v>
      </c>
      <c r="O329" s="1" t="s">
        <v>41</v>
      </c>
      <c r="P329" s="1" t="s">
        <v>27</v>
      </c>
      <c r="Q329" s="1">
        <v>2024</v>
      </c>
      <c r="R329" s="1">
        <v>2</v>
      </c>
      <c r="S329" s="1" t="s">
        <v>68</v>
      </c>
    </row>
    <row r="330" spans="1:19" x14ac:dyDescent="0.35">
      <c r="A330" s="1" t="s">
        <v>874</v>
      </c>
      <c r="B330" s="2">
        <v>44725</v>
      </c>
      <c r="C330" s="1" t="s">
        <v>875</v>
      </c>
      <c r="D330" s="1" t="s">
        <v>876</v>
      </c>
      <c r="E330" s="1" t="s">
        <v>32</v>
      </c>
      <c r="F330" s="1" t="s">
        <v>33</v>
      </c>
      <c r="G330" s="1">
        <v>13</v>
      </c>
      <c r="H330" s="1">
        <v>51555</v>
      </c>
      <c r="I330" s="1">
        <v>670215</v>
      </c>
      <c r="J330" s="1">
        <v>77303</v>
      </c>
      <c r="K330" s="1">
        <v>592912</v>
      </c>
      <c r="L330" s="1">
        <v>592912</v>
      </c>
      <c r="M330" s="1" t="s">
        <v>34</v>
      </c>
      <c r="N330" s="1" t="s">
        <v>54</v>
      </c>
      <c r="O330" s="1" t="s">
        <v>67</v>
      </c>
      <c r="P330" s="1" t="s">
        <v>27</v>
      </c>
      <c r="Q330" s="1">
        <v>2022</v>
      </c>
      <c r="R330" s="1">
        <v>6</v>
      </c>
      <c r="S330" s="1" t="s">
        <v>35</v>
      </c>
    </row>
    <row r="331" spans="1:19" x14ac:dyDescent="0.35">
      <c r="A331" s="1" t="s">
        <v>877</v>
      </c>
      <c r="B331" s="2">
        <v>44906</v>
      </c>
      <c r="C331" s="1" t="s">
        <v>113</v>
      </c>
      <c r="D331" s="1" t="s">
        <v>878</v>
      </c>
      <c r="E331" s="1" t="s">
        <v>22</v>
      </c>
      <c r="F331" s="1" t="s">
        <v>23</v>
      </c>
      <c r="G331" s="1">
        <v>13</v>
      </c>
      <c r="H331" s="1">
        <v>56418</v>
      </c>
      <c r="I331" s="1">
        <v>733434</v>
      </c>
      <c r="J331" s="1">
        <v>65963</v>
      </c>
      <c r="K331" s="1">
        <v>667471</v>
      </c>
      <c r="L331" s="1">
        <v>667471</v>
      </c>
      <c r="M331" s="1" t="s">
        <v>66</v>
      </c>
      <c r="N331" s="1" t="s">
        <v>61</v>
      </c>
      <c r="O331" s="1" t="s">
        <v>62</v>
      </c>
      <c r="P331" s="1" t="s">
        <v>27</v>
      </c>
      <c r="Q331" s="1">
        <v>2022</v>
      </c>
      <c r="R331" s="1">
        <v>12</v>
      </c>
      <c r="S331" s="1" t="s">
        <v>28</v>
      </c>
    </row>
    <row r="332" spans="1:19" x14ac:dyDescent="0.35">
      <c r="A332" s="1" t="s">
        <v>879</v>
      </c>
      <c r="B332" s="2">
        <v>43967</v>
      </c>
      <c r="C332" s="1" t="s">
        <v>512</v>
      </c>
      <c r="D332" s="1" t="s">
        <v>880</v>
      </c>
      <c r="E332" s="1" t="s">
        <v>60</v>
      </c>
      <c r="F332" s="1" t="s">
        <v>46</v>
      </c>
      <c r="G332" s="1">
        <v>28</v>
      </c>
      <c r="H332" s="1">
        <v>7833</v>
      </c>
      <c r="I332" s="1">
        <v>219324</v>
      </c>
      <c r="J332" s="1">
        <v>43564</v>
      </c>
      <c r="K332" s="1">
        <v>175760</v>
      </c>
      <c r="L332" s="1">
        <v>175760</v>
      </c>
      <c r="M332" s="1" t="s">
        <v>66</v>
      </c>
      <c r="N332" s="1" t="s">
        <v>48</v>
      </c>
      <c r="O332" s="1" t="s">
        <v>49</v>
      </c>
      <c r="P332" s="1" t="s">
        <v>27</v>
      </c>
      <c r="Q332" s="1">
        <v>2020</v>
      </c>
      <c r="R332" s="1">
        <v>5</v>
      </c>
      <c r="S332" s="1" t="s">
        <v>35</v>
      </c>
    </row>
    <row r="333" spans="1:19" x14ac:dyDescent="0.35">
      <c r="A333" s="1" t="s">
        <v>881</v>
      </c>
      <c r="B333" s="2">
        <v>44316</v>
      </c>
      <c r="C333" s="1" t="s">
        <v>132</v>
      </c>
      <c r="D333" s="1" t="s">
        <v>882</v>
      </c>
      <c r="E333" s="1" t="s">
        <v>106</v>
      </c>
      <c r="F333" s="1" t="s">
        <v>107</v>
      </c>
      <c r="G333" s="1">
        <v>27</v>
      </c>
      <c r="H333" s="1">
        <v>47767</v>
      </c>
      <c r="I333" s="1">
        <v>1289709</v>
      </c>
      <c r="J333" s="1">
        <v>240075</v>
      </c>
      <c r="K333" s="1">
        <v>1049634</v>
      </c>
      <c r="L333" s="1">
        <v>1049634</v>
      </c>
      <c r="M333" s="1" t="s">
        <v>66</v>
      </c>
      <c r="N333" s="1" t="s">
        <v>61</v>
      </c>
      <c r="O333" s="1" t="s">
        <v>62</v>
      </c>
      <c r="P333" s="1" t="s">
        <v>27</v>
      </c>
      <c r="Q333" s="1">
        <v>2021</v>
      </c>
      <c r="R333" s="1">
        <v>4</v>
      </c>
      <c r="S333" s="1" t="s">
        <v>35</v>
      </c>
    </row>
    <row r="334" spans="1:19" x14ac:dyDescent="0.35">
      <c r="A334" s="1" t="s">
        <v>883</v>
      </c>
      <c r="B334" s="2">
        <v>43963</v>
      </c>
      <c r="C334" s="1" t="s">
        <v>884</v>
      </c>
      <c r="D334" s="1" t="s">
        <v>885</v>
      </c>
      <c r="E334" s="1" t="s">
        <v>22</v>
      </c>
      <c r="F334" s="1" t="s">
        <v>23</v>
      </c>
      <c r="G334" s="1">
        <v>2</v>
      </c>
      <c r="H334" s="1">
        <v>59722</v>
      </c>
      <c r="I334" s="1">
        <v>119444</v>
      </c>
      <c r="J334" s="1">
        <v>7638</v>
      </c>
      <c r="K334" s="1">
        <v>111806</v>
      </c>
      <c r="L334" s="1">
        <v>111806</v>
      </c>
      <c r="M334" s="1" t="s">
        <v>24</v>
      </c>
      <c r="N334" s="1" t="s">
        <v>101</v>
      </c>
      <c r="O334" s="1" t="s">
        <v>102</v>
      </c>
      <c r="P334" s="1" t="s">
        <v>27</v>
      </c>
      <c r="Q334" s="1">
        <v>2020</v>
      </c>
      <c r="R334" s="1">
        <v>5</v>
      </c>
      <c r="S334" s="1" t="s">
        <v>35</v>
      </c>
    </row>
    <row r="335" spans="1:19" x14ac:dyDescent="0.35">
      <c r="A335" s="1" t="s">
        <v>886</v>
      </c>
      <c r="B335" s="2">
        <v>45112</v>
      </c>
      <c r="C335" s="1" t="s">
        <v>887</v>
      </c>
      <c r="D335" s="1" t="s">
        <v>888</v>
      </c>
      <c r="E335" s="1" t="s">
        <v>79</v>
      </c>
      <c r="F335" s="1" t="s">
        <v>23</v>
      </c>
      <c r="G335" s="1">
        <v>7</v>
      </c>
      <c r="H335" s="1">
        <v>12914</v>
      </c>
      <c r="I335" s="1">
        <v>90398</v>
      </c>
      <c r="J335" s="1">
        <v>9791</v>
      </c>
      <c r="K335" s="1">
        <v>80607</v>
      </c>
      <c r="L335" s="1">
        <v>80607</v>
      </c>
      <c r="M335" s="1" t="s">
        <v>24</v>
      </c>
      <c r="N335" s="1" t="s">
        <v>61</v>
      </c>
      <c r="O335" s="1" t="s">
        <v>88</v>
      </c>
      <c r="P335" s="1" t="s">
        <v>27</v>
      </c>
      <c r="Q335" s="1">
        <v>2023</v>
      </c>
      <c r="R335" s="1">
        <v>7</v>
      </c>
      <c r="S335" s="1" t="s">
        <v>56</v>
      </c>
    </row>
    <row r="336" spans="1:19" x14ac:dyDescent="0.35">
      <c r="A336" s="1" t="s">
        <v>889</v>
      </c>
      <c r="B336" s="2">
        <v>43898</v>
      </c>
      <c r="C336" s="1" t="s">
        <v>890</v>
      </c>
      <c r="D336" s="1" t="s">
        <v>891</v>
      </c>
      <c r="E336" s="1" t="s">
        <v>45</v>
      </c>
      <c r="F336" s="1" t="s">
        <v>46</v>
      </c>
      <c r="G336" s="1">
        <v>5</v>
      </c>
      <c r="H336" s="1">
        <v>24087</v>
      </c>
      <c r="I336" s="1">
        <v>120435</v>
      </c>
      <c r="J336" s="1">
        <v>11197</v>
      </c>
      <c r="K336" s="1">
        <v>109238</v>
      </c>
      <c r="L336" s="1">
        <v>109238</v>
      </c>
      <c r="M336" s="1" t="s">
        <v>39</v>
      </c>
      <c r="N336" s="1" t="s">
        <v>48</v>
      </c>
      <c r="O336" s="1" t="s">
        <v>49</v>
      </c>
      <c r="P336" s="1" t="s">
        <v>27</v>
      </c>
      <c r="Q336" s="1">
        <v>2020</v>
      </c>
      <c r="R336" s="1">
        <v>3</v>
      </c>
      <c r="S336" s="1" t="s">
        <v>68</v>
      </c>
    </row>
    <row r="337" spans="1:19" x14ac:dyDescent="0.35">
      <c r="A337" s="1" t="s">
        <v>892</v>
      </c>
      <c r="B337" s="2">
        <v>44660</v>
      </c>
      <c r="C337" s="1" t="s">
        <v>260</v>
      </c>
      <c r="D337" s="1" t="s">
        <v>893</v>
      </c>
      <c r="E337" s="1" t="s">
        <v>124</v>
      </c>
      <c r="F337" s="1" t="s">
        <v>107</v>
      </c>
      <c r="G337" s="1">
        <v>24</v>
      </c>
      <c r="H337" s="1">
        <v>10600</v>
      </c>
      <c r="I337" s="1">
        <v>254400</v>
      </c>
      <c r="J337" s="1">
        <v>6646</v>
      </c>
      <c r="K337" s="1">
        <v>247754</v>
      </c>
      <c r="L337" s="1">
        <v>247754</v>
      </c>
      <c r="M337" s="1" t="s">
        <v>39</v>
      </c>
      <c r="N337" s="1" t="s">
        <v>101</v>
      </c>
      <c r="O337" s="1" t="s">
        <v>108</v>
      </c>
      <c r="P337" s="1" t="s">
        <v>27</v>
      </c>
      <c r="Q337" s="1">
        <v>2022</v>
      </c>
      <c r="R337" s="1">
        <v>4</v>
      </c>
      <c r="S337" s="1" t="s">
        <v>35</v>
      </c>
    </row>
    <row r="338" spans="1:19" x14ac:dyDescent="0.35">
      <c r="A338" s="1" t="s">
        <v>894</v>
      </c>
      <c r="B338" s="2">
        <v>44195</v>
      </c>
      <c r="C338" s="1" t="s">
        <v>156</v>
      </c>
      <c r="D338" s="1" t="s">
        <v>895</v>
      </c>
      <c r="E338" s="1" t="s">
        <v>60</v>
      </c>
      <c r="F338" s="1" t="s">
        <v>46</v>
      </c>
      <c r="G338" s="1">
        <v>22</v>
      </c>
      <c r="H338" s="1">
        <v>53961</v>
      </c>
      <c r="I338" s="1">
        <v>1187142</v>
      </c>
      <c r="J338" s="1">
        <v>75920</v>
      </c>
      <c r="K338" s="1">
        <v>1111222</v>
      </c>
      <c r="L338" s="1">
        <v>1111222</v>
      </c>
      <c r="M338" s="1" t="s">
        <v>34</v>
      </c>
      <c r="N338" s="1" t="s">
        <v>101</v>
      </c>
      <c r="O338" s="1" t="s">
        <v>102</v>
      </c>
      <c r="P338" s="1" t="s">
        <v>27</v>
      </c>
      <c r="Q338" s="1">
        <v>2020</v>
      </c>
      <c r="R338" s="1">
        <v>12</v>
      </c>
      <c r="S338" s="1" t="s">
        <v>28</v>
      </c>
    </row>
    <row r="339" spans="1:19" x14ac:dyDescent="0.35">
      <c r="A339" s="1" t="s">
        <v>896</v>
      </c>
      <c r="B339" s="2">
        <v>44239</v>
      </c>
      <c r="C339" s="1" t="s">
        <v>512</v>
      </c>
      <c r="D339" s="1" t="s">
        <v>237</v>
      </c>
      <c r="E339" s="1" t="s">
        <v>124</v>
      </c>
      <c r="F339" s="1" t="s">
        <v>107</v>
      </c>
      <c r="G339" s="1">
        <v>21</v>
      </c>
      <c r="H339" s="1">
        <v>33251</v>
      </c>
      <c r="I339" s="1">
        <v>698271</v>
      </c>
      <c r="J339" s="1">
        <v>18683</v>
      </c>
      <c r="K339" s="1">
        <v>679588</v>
      </c>
      <c r="L339" s="1">
        <v>679588</v>
      </c>
      <c r="M339" s="1" t="s">
        <v>39</v>
      </c>
      <c r="N339" s="1" t="s">
        <v>40</v>
      </c>
      <c r="O339" s="1" t="s">
        <v>75</v>
      </c>
      <c r="P339" s="1" t="s">
        <v>27</v>
      </c>
      <c r="Q339" s="1">
        <v>2021</v>
      </c>
      <c r="R339" s="1">
        <v>2</v>
      </c>
      <c r="S339" s="1" t="s">
        <v>68</v>
      </c>
    </row>
    <row r="340" spans="1:19" x14ac:dyDescent="0.35">
      <c r="A340" s="1" t="s">
        <v>897</v>
      </c>
      <c r="B340" s="2">
        <v>45048</v>
      </c>
      <c r="C340" s="1" t="s">
        <v>363</v>
      </c>
      <c r="D340" s="1" t="s">
        <v>447</v>
      </c>
      <c r="E340" s="1" t="s">
        <v>60</v>
      </c>
      <c r="F340" s="1" t="s">
        <v>46</v>
      </c>
      <c r="G340" s="1">
        <v>28</v>
      </c>
      <c r="H340" s="1">
        <v>15444</v>
      </c>
      <c r="I340" s="1">
        <v>432432</v>
      </c>
      <c r="J340" s="1">
        <v>17280</v>
      </c>
      <c r="K340" s="1">
        <v>415152</v>
      </c>
      <c r="L340" s="1">
        <v>415152</v>
      </c>
      <c r="M340" s="1" t="s">
        <v>34</v>
      </c>
      <c r="N340" s="1" t="s">
        <v>54</v>
      </c>
      <c r="O340" s="1" t="s">
        <v>67</v>
      </c>
      <c r="P340" s="1" t="s">
        <v>27</v>
      </c>
      <c r="Q340" s="1">
        <v>2023</v>
      </c>
      <c r="R340" s="1">
        <v>5</v>
      </c>
      <c r="S340" s="1" t="s">
        <v>35</v>
      </c>
    </row>
    <row r="341" spans="1:19" x14ac:dyDescent="0.35">
      <c r="A341" s="1" t="s">
        <v>898</v>
      </c>
      <c r="B341" s="2">
        <v>44042</v>
      </c>
      <c r="C341" s="1" t="s">
        <v>899</v>
      </c>
      <c r="D341" s="1" t="s">
        <v>900</v>
      </c>
      <c r="E341" s="1" t="s">
        <v>79</v>
      </c>
      <c r="F341" s="1" t="s">
        <v>23</v>
      </c>
      <c r="G341" s="1">
        <v>18</v>
      </c>
      <c r="H341" s="1">
        <v>58483</v>
      </c>
      <c r="I341" s="1">
        <v>1052694</v>
      </c>
      <c r="J341" s="1">
        <v>69735</v>
      </c>
      <c r="K341" s="1">
        <v>982959</v>
      </c>
      <c r="L341" s="1">
        <v>982959</v>
      </c>
      <c r="M341" s="1" t="s">
        <v>66</v>
      </c>
      <c r="N341" s="1" t="s">
        <v>54</v>
      </c>
      <c r="O341" s="1" t="s">
        <v>67</v>
      </c>
      <c r="P341" s="1" t="s">
        <v>27</v>
      </c>
      <c r="Q341" s="1">
        <v>2020</v>
      </c>
      <c r="R341" s="1">
        <v>7</v>
      </c>
      <c r="S341" s="1" t="s">
        <v>56</v>
      </c>
    </row>
    <row r="342" spans="1:19" x14ac:dyDescent="0.35">
      <c r="A342" s="1" t="s">
        <v>901</v>
      </c>
      <c r="B342" s="2">
        <v>43605</v>
      </c>
      <c r="C342" s="1" t="s">
        <v>77</v>
      </c>
      <c r="D342" s="1" t="s">
        <v>797</v>
      </c>
      <c r="E342" s="1" t="s">
        <v>32</v>
      </c>
      <c r="F342" s="1" t="s">
        <v>33</v>
      </c>
      <c r="G342" s="1">
        <v>29</v>
      </c>
      <c r="H342" s="1">
        <v>31428</v>
      </c>
      <c r="I342" s="1">
        <v>911412</v>
      </c>
      <c r="J342" s="1">
        <v>51277</v>
      </c>
      <c r="K342" s="1">
        <v>860135</v>
      </c>
      <c r="L342" s="1">
        <v>860135</v>
      </c>
      <c r="M342" s="1" t="s">
        <v>34</v>
      </c>
      <c r="N342" s="1" t="s">
        <v>40</v>
      </c>
      <c r="O342" s="1" t="s">
        <v>125</v>
      </c>
      <c r="P342" s="1" t="s">
        <v>27</v>
      </c>
      <c r="Q342" s="1">
        <v>2019</v>
      </c>
      <c r="R342" s="1">
        <v>5</v>
      </c>
      <c r="S342" s="1" t="s">
        <v>35</v>
      </c>
    </row>
    <row r="343" spans="1:19" x14ac:dyDescent="0.35">
      <c r="A343" s="1" t="s">
        <v>902</v>
      </c>
      <c r="B343" s="2">
        <v>44861</v>
      </c>
      <c r="C343" s="1" t="s">
        <v>638</v>
      </c>
      <c r="D343" s="1" t="s">
        <v>903</v>
      </c>
      <c r="E343" s="1" t="s">
        <v>53</v>
      </c>
      <c r="F343" s="1" t="s">
        <v>33</v>
      </c>
      <c r="G343" s="1">
        <v>7</v>
      </c>
      <c r="H343" s="1">
        <v>46078</v>
      </c>
      <c r="I343" s="1">
        <v>322546</v>
      </c>
      <c r="J343" s="1">
        <v>44694</v>
      </c>
      <c r="K343" s="1">
        <v>277852</v>
      </c>
      <c r="L343" s="1">
        <v>277852</v>
      </c>
      <c r="M343" s="1" t="s">
        <v>39</v>
      </c>
      <c r="N343" s="1" t="s">
        <v>48</v>
      </c>
      <c r="O343" s="1" t="s">
        <v>49</v>
      </c>
      <c r="P343" s="1" t="s">
        <v>27</v>
      </c>
      <c r="Q343" s="1">
        <v>2022</v>
      </c>
      <c r="R343" s="1">
        <v>10</v>
      </c>
      <c r="S343" s="1" t="s">
        <v>28</v>
      </c>
    </row>
    <row r="344" spans="1:19" x14ac:dyDescent="0.35">
      <c r="A344" s="1" t="s">
        <v>904</v>
      </c>
      <c r="B344" s="2">
        <v>45255</v>
      </c>
      <c r="C344" s="1" t="s">
        <v>905</v>
      </c>
      <c r="D344" s="1" t="s">
        <v>906</v>
      </c>
      <c r="E344" s="1" t="s">
        <v>53</v>
      </c>
      <c r="F344" s="1" t="s">
        <v>33</v>
      </c>
      <c r="G344" s="1">
        <v>20</v>
      </c>
      <c r="H344" s="1">
        <v>3778</v>
      </c>
      <c r="I344" s="1">
        <v>75560</v>
      </c>
      <c r="J344" s="1">
        <v>6973</v>
      </c>
      <c r="K344" s="1">
        <v>68587</v>
      </c>
      <c r="L344" s="1">
        <v>68587</v>
      </c>
      <c r="M344" s="1" t="s">
        <v>84</v>
      </c>
      <c r="N344" s="1" t="s">
        <v>61</v>
      </c>
      <c r="O344" s="1" t="s">
        <v>88</v>
      </c>
      <c r="P344" s="1" t="s">
        <v>27</v>
      </c>
      <c r="Q344" s="1">
        <v>2023</v>
      </c>
      <c r="R344" s="1">
        <v>11</v>
      </c>
      <c r="S344" s="1" t="s">
        <v>28</v>
      </c>
    </row>
    <row r="345" spans="1:19" x14ac:dyDescent="0.35">
      <c r="A345" s="1" t="s">
        <v>907</v>
      </c>
      <c r="B345" s="2">
        <v>44961</v>
      </c>
      <c r="C345" s="1" t="s">
        <v>144</v>
      </c>
      <c r="D345" s="1" t="s">
        <v>908</v>
      </c>
      <c r="E345" s="1" t="s">
        <v>32</v>
      </c>
      <c r="F345" s="1" t="s">
        <v>33</v>
      </c>
      <c r="G345" s="1">
        <v>17</v>
      </c>
      <c r="H345" s="1">
        <v>38282</v>
      </c>
      <c r="I345" s="1">
        <v>650794</v>
      </c>
      <c r="J345" s="1">
        <v>21947</v>
      </c>
      <c r="K345" s="1">
        <v>628847</v>
      </c>
      <c r="L345" s="1">
        <v>628847</v>
      </c>
      <c r="M345" s="1" t="s">
        <v>39</v>
      </c>
      <c r="N345" s="1" t="s">
        <v>61</v>
      </c>
      <c r="O345" s="1" t="s">
        <v>62</v>
      </c>
      <c r="P345" s="1" t="s">
        <v>27</v>
      </c>
      <c r="Q345" s="1">
        <v>2023</v>
      </c>
      <c r="R345" s="1">
        <v>2</v>
      </c>
      <c r="S345" s="1" t="s">
        <v>68</v>
      </c>
    </row>
    <row r="346" spans="1:19" x14ac:dyDescent="0.35">
      <c r="A346" s="1" t="s">
        <v>909</v>
      </c>
      <c r="B346" s="2">
        <v>45663</v>
      </c>
      <c r="C346" s="1" t="s">
        <v>910</v>
      </c>
      <c r="D346" s="1" t="s">
        <v>536</v>
      </c>
      <c r="E346" s="1" t="s">
        <v>106</v>
      </c>
      <c r="F346" s="1" t="s">
        <v>107</v>
      </c>
      <c r="G346" s="1">
        <v>17</v>
      </c>
      <c r="H346" s="1">
        <v>35987</v>
      </c>
      <c r="I346" s="1">
        <v>611779</v>
      </c>
      <c r="J346" s="1">
        <v>67072</v>
      </c>
      <c r="K346" s="1">
        <v>544707</v>
      </c>
      <c r="L346" s="1">
        <v>544707</v>
      </c>
      <c r="M346" s="1" t="s">
        <v>47</v>
      </c>
      <c r="N346" s="1" t="s">
        <v>48</v>
      </c>
      <c r="O346" s="1" t="s">
        <v>49</v>
      </c>
      <c r="P346" s="1" t="s">
        <v>27</v>
      </c>
      <c r="Q346" s="1">
        <v>2025</v>
      </c>
      <c r="R346" s="1">
        <v>1</v>
      </c>
      <c r="S346" s="1" t="s">
        <v>68</v>
      </c>
    </row>
    <row r="347" spans="1:19" x14ac:dyDescent="0.35">
      <c r="A347" s="1" t="s">
        <v>911</v>
      </c>
      <c r="B347" s="2">
        <v>43620</v>
      </c>
      <c r="C347" s="1" t="s">
        <v>912</v>
      </c>
      <c r="D347" s="1" t="s">
        <v>294</v>
      </c>
      <c r="E347" s="1" t="s">
        <v>53</v>
      </c>
      <c r="F347" s="1" t="s">
        <v>33</v>
      </c>
      <c r="G347" s="1">
        <v>30</v>
      </c>
      <c r="H347" s="1">
        <v>50004</v>
      </c>
      <c r="I347" s="1">
        <v>1500120</v>
      </c>
      <c r="J347" s="1">
        <v>246628</v>
      </c>
      <c r="K347" s="1">
        <v>1253492</v>
      </c>
      <c r="L347" s="1">
        <v>1253492</v>
      </c>
      <c r="M347" s="1" t="s">
        <v>66</v>
      </c>
      <c r="N347" s="1" t="s">
        <v>61</v>
      </c>
      <c r="O347" s="1" t="s">
        <v>88</v>
      </c>
      <c r="P347" s="1" t="s">
        <v>27</v>
      </c>
      <c r="Q347" s="1">
        <v>2019</v>
      </c>
      <c r="R347" s="1">
        <v>6</v>
      </c>
      <c r="S347" s="1" t="s">
        <v>35</v>
      </c>
    </row>
    <row r="348" spans="1:19" x14ac:dyDescent="0.35">
      <c r="A348" s="1" t="s">
        <v>913</v>
      </c>
      <c r="B348" s="2">
        <v>44099</v>
      </c>
      <c r="C348" s="1" t="s">
        <v>116</v>
      </c>
      <c r="D348" s="1" t="s">
        <v>493</v>
      </c>
      <c r="E348" s="1" t="s">
        <v>79</v>
      </c>
      <c r="F348" s="1" t="s">
        <v>23</v>
      </c>
      <c r="G348" s="1">
        <v>2</v>
      </c>
      <c r="H348" s="1">
        <v>22560</v>
      </c>
      <c r="I348" s="1">
        <v>45120</v>
      </c>
      <c r="J348" s="1">
        <v>4336</v>
      </c>
      <c r="K348" s="1">
        <v>40784</v>
      </c>
      <c r="L348" s="1">
        <v>40784</v>
      </c>
      <c r="M348" s="1" t="s">
        <v>84</v>
      </c>
      <c r="N348" s="1" t="s">
        <v>40</v>
      </c>
      <c r="O348" s="1" t="s">
        <v>41</v>
      </c>
      <c r="P348" s="1" t="s">
        <v>27</v>
      </c>
      <c r="Q348" s="1">
        <v>2020</v>
      </c>
      <c r="R348" s="1">
        <v>9</v>
      </c>
      <c r="S348" s="1" t="s">
        <v>56</v>
      </c>
    </row>
    <row r="349" spans="1:19" x14ac:dyDescent="0.35">
      <c r="A349" s="1" t="s">
        <v>914</v>
      </c>
      <c r="B349" s="2">
        <v>44577</v>
      </c>
      <c r="C349" s="1" t="s">
        <v>915</v>
      </c>
      <c r="D349" s="1" t="s">
        <v>916</v>
      </c>
      <c r="E349" s="1" t="s">
        <v>106</v>
      </c>
      <c r="F349" s="1" t="s">
        <v>107</v>
      </c>
      <c r="G349" s="1">
        <v>9</v>
      </c>
      <c r="H349" s="1">
        <v>56392</v>
      </c>
      <c r="I349" s="1">
        <v>507528</v>
      </c>
      <c r="J349" s="1">
        <v>83294</v>
      </c>
      <c r="K349" s="1">
        <v>424234</v>
      </c>
      <c r="L349" s="1">
        <v>424234</v>
      </c>
      <c r="M349" s="1" t="s">
        <v>39</v>
      </c>
      <c r="N349" s="1" t="s">
        <v>54</v>
      </c>
      <c r="O349" s="1" t="s">
        <v>55</v>
      </c>
      <c r="P349" s="1" t="s">
        <v>27</v>
      </c>
      <c r="Q349" s="1">
        <v>2022</v>
      </c>
      <c r="R349" s="1">
        <v>1</v>
      </c>
      <c r="S349" s="1" t="s">
        <v>68</v>
      </c>
    </row>
    <row r="350" spans="1:19" x14ac:dyDescent="0.35">
      <c r="A350" s="1" t="s">
        <v>917</v>
      </c>
      <c r="B350" s="2">
        <v>43611</v>
      </c>
      <c r="C350" s="1" t="s">
        <v>918</v>
      </c>
      <c r="D350" s="1" t="s">
        <v>900</v>
      </c>
      <c r="E350" s="1" t="s">
        <v>60</v>
      </c>
      <c r="F350" s="1" t="s">
        <v>46</v>
      </c>
      <c r="G350" s="1">
        <v>29</v>
      </c>
      <c r="H350" s="1">
        <v>6244</v>
      </c>
      <c r="I350" s="1">
        <v>181076</v>
      </c>
      <c r="J350" s="1">
        <v>1253</v>
      </c>
      <c r="K350" s="1">
        <v>179823</v>
      </c>
      <c r="L350" s="1">
        <v>179823</v>
      </c>
      <c r="M350" s="1" t="s">
        <v>84</v>
      </c>
      <c r="N350" s="1" t="s">
        <v>48</v>
      </c>
      <c r="O350" s="1" t="s">
        <v>49</v>
      </c>
      <c r="P350" s="1" t="s">
        <v>27</v>
      </c>
      <c r="Q350" s="1">
        <v>2019</v>
      </c>
      <c r="R350" s="1">
        <v>5</v>
      </c>
      <c r="S350" s="1" t="s">
        <v>35</v>
      </c>
    </row>
    <row r="351" spans="1:19" x14ac:dyDescent="0.35">
      <c r="A351" s="1" t="s">
        <v>919</v>
      </c>
      <c r="B351" s="2">
        <v>44285</v>
      </c>
      <c r="C351" s="1" t="s">
        <v>271</v>
      </c>
      <c r="D351" s="1" t="s">
        <v>920</v>
      </c>
      <c r="E351" s="1" t="s">
        <v>106</v>
      </c>
      <c r="F351" s="1" t="s">
        <v>107</v>
      </c>
      <c r="G351" s="1">
        <v>28</v>
      </c>
      <c r="H351" s="1">
        <v>45388</v>
      </c>
      <c r="I351" s="1">
        <v>1270864</v>
      </c>
      <c r="J351" s="1">
        <v>12142</v>
      </c>
      <c r="K351" s="1">
        <v>1258722</v>
      </c>
      <c r="L351" s="1">
        <v>1258722</v>
      </c>
      <c r="M351" s="1" t="s">
        <v>84</v>
      </c>
      <c r="N351" s="1" t="s">
        <v>48</v>
      </c>
      <c r="O351" s="1" t="s">
        <v>49</v>
      </c>
      <c r="P351" s="1" t="s">
        <v>27</v>
      </c>
      <c r="Q351" s="1">
        <v>2021</v>
      </c>
      <c r="R351" s="1">
        <v>3</v>
      </c>
      <c r="S351" s="1" t="s">
        <v>68</v>
      </c>
    </row>
    <row r="352" spans="1:19" x14ac:dyDescent="0.35">
      <c r="A352" s="1" t="s">
        <v>921</v>
      </c>
      <c r="B352" s="2">
        <v>43523</v>
      </c>
      <c r="C352" s="1" t="s">
        <v>922</v>
      </c>
      <c r="D352" s="1" t="s">
        <v>923</v>
      </c>
      <c r="E352" s="1" t="s">
        <v>124</v>
      </c>
      <c r="F352" s="1" t="s">
        <v>107</v>
      </c>
      <c r="G352" s="1">
        <v>29</v>
      </c>
      <c r="H352" s="1">
        <v>9345</v>
      </c>
      <c r="I352" s="1">
        <v>271005</v>
      </c>
      <c r="J352" s="1">
        <v>40116</v>
      </c>
      <c r="K352" s="1">
        <v>230889</v>
      </c>
      <c r="L352" s="1">
        <v>230889</v>
      </c>
      <c r="M352" s="1" t="s">
        <v>84</v>
      </c>
      <c r="N352" s="1" t="s">
        <v>40</v>
      </c>
      <c r="O352" s="1" t="s">
        <v>75</v>
      </c>
      <c r="P352" s="1" t="s">
        <v>27</v>
      </c>
      <c r="Q352" s="1">
        <v>2019</v>
      </c>
      <c r="R352" s="1">
        <v>2</v>
      </c>
      <c r="S352" s="1" t="s">
        <v>68</v>
      </c>
    </row>
    <row r="353" spans="1:19" x14ac:dyDescent="0.35">
      <c r="A353" s="1" t="s">
        <v>924</v>
      </c>
      <c r="B353" s="2">
        <v>44041</v>
      </c>
      <c r="C353" s="1" t="s">
        <v>90</v>
      </c>
      <c r="D353" s="1" t="s">
        <v>105</v>
      </c>
      <c r="E353" s="1" t="s">
        <v>45</v>
      </c>
      <c r="F353" s="1" t="s">
        <v>46</v>
      </c>
      <c r="G353" s="1">
        <v>8</v>
      </c>
      <c r="H353" s="1">
        <v>29057</v>
      </c>
      <c r="I353" s="1">
        <v>232456</v>
      </c>
      <c r="J353" s="1">
        <v>11805</v>
      </c>
      <c r="K353" s="1">
        <v>220651</v>
      </c>
      <c r="L353" s="1">
        <v>220651</v>
      </c>
      <c r="M353" s="1" t="s">
        <v>47</v>
      </c>
      <c r="N353" s="1" t="s">
        <v>25</v>
      </c>
      <c r="O353" s="1" t="s">
        <v>80</v>
      </c>
      <c r="P353" s="1" t="s">
        <v>27</v>
      </c>
      <c r="Q353" s="1">
        <v>2020</v>
      </c>
      <c r="R353" s="1">
        <v>7</v>
      </c>
      <c r="S353" s="1" t="s">
        <v>56</v>
      </c>
    </row>
    <row r="354" spans="1:19" x14ac:dyDescent="0.35">
      <c r="A354" s="1" t="s">
        <v>925</v>
      </c>
      <c r="B354" s="2">
        <v>44283</v>
      </c>
      <c r="C354" s="1" t="s">
        <v>198</v>
      </c>
      <c r="D354" s="1" t="s">
        <v>219</v>
      </c>
      <c r="E354" s="1" t="s">
        <v>22</v>
      </c>
      <c r="F354" s="1" t="s">
        <v>23</v>
      </c>
      <c r="G354" s="1">
        <v>20</v>
      </c>
      <c r="H354" s="1">
        <v>1217</v>
      </c>
      <c r="I354" s="1">
        <v>24340</v>
      </c>
      <c r="J354" s="1">
        <v>2227</v>
      </c>
      <c r="K354" s="1">
        <v>22113</v>
      </c>
      <c r="L354" s="1">
        <v>22113</v>
      </c>
      <c r="M354" s="1" t="s">
        <v>84</v>
      </c>
      <c r="N354" s="1" t="s">
        <v>25</v>
      </c>
      <c r="O354" s="1" t="s">
        <v>80</v>
      </c>
      <c r="P354" s="1" t="s">
        <v>27</v>
      </c>
      <c r="Q354" s="1">
        <v>2021</v>
      </c>
      <c r="R354" s="1">
        <v>3</v>
      </c>
      <c r="S354" s="1" t="s">
        <v>68</v>
      </c>
    </row>
    <row r="355" spans="1:19" x14ac:dyDescent="0.35">
      <c r="A355" s="1" t="s">
        <v>926</v>
      </c>
      <c r="B355" s="2">
        <v>45557</v>
      </c>
      <c r="C355" s="1" t="s">
        <v>138</v>
      </c>
      <c r="D355" s="1" t="s">
        <v>750</v>
      </c>
      <c r="E355" s="1" t="s">
        <v>53</v>
      </c>
      <c r="F355" s="1" t="s">
        <v>33</v>
      </c>
      <c r="G355" s="1">
        <v>1</v>
      </c>
      <c r="H355" s="1">
        <v>2130</v>
      </c>
      <c r="I355" s="1">
        <v>2130</v>
      </c>
      <c r="J355" s="1">
        <v>208</v>
      </c>
      <c r="K355" s="1">
        <v>1922</v>
      </c>
      <c r="L355" s="1">
        <v>1922</v>
      </c>
      <c r="M355" s="1" t="s">
        <v>34</v>
      </c>
      <c r="N355" s="1" t="s">
        <v>61</v>
      </c>
      <c r="O355" s="1" t="s">
        <v>62</v>
      </c>
      <c r="P355" s="1" t="s">
        <v>27</v>
      </c>
      <c r="Q355" s="1">
        <v>2024</v>
      </c>
      <c r="R355" s="1">
        <v>9</v>
      </c>
      <c r="S355" s="1" t="s">
        <v>56</v>
      </c>
    </row>
    <row r="356" spans="1:19" x14ac:dyDescent="0.35">
      <c r="A356" s="1" t="s">
        <v>927</v>
      </c>
      <c r="B356" s="2">
        <v>45267</v>
      </c>
      <c r="C356" s="1" t="s">
        <v>471</v>
      </c>
      <c r="D356" s="1" t="s">
        <v>928</v>
      </c>
      <c r="E356" s="1" t="s">
        <v>79</v>
      </c>
      <c r="F356" s="1" t="s">
        <v>23</v>
      </c>
      <c r="G356" s="1">
        <v>24</v>
      </c>
      <c r="H356" s="1">
        <v>30822</v>
      </c>
      <c r="I356" s="1">
        <v>739728</v>
      </c>
      <c r="J356" s="1">
        <v>110872</v>
      </c>
      <c r="K356" s="1">
        <v>628856</v>
      </c>
      <c r="L356" s="1">
        <v>628856</v>
      </c>
      <c r="M356" s="1" t="s">
        <v>47</v>
      </c>
      <c r="N356" s="1" t="s">
        <v>25</v>
      </c>
      <c r="O356" s="1" t="s">
        <v>26</v>
      </c>
      <c r="P356" s="1" t="s">
        <v>27</v>
      </c>
      <c r="Q356" s="1">
        <v>2023</v>
      </c>
      <c r="R356" s="1">
        <v>12</v>
      </c>
      <c r="S356" s="1" t="s">
        <v>28</v>
      </c>
    </row>
    <row r="357" spans="1:19" x14ac:dyDescent="0.35">
      <c r="A357" s="1" t="s">
        <v>929</v>
      </c>
      <c r="B357" s="2">
        <v>44854</v>
      </c>
      <c r="C357" s="1" t="s">
        <v>930</v>
      </c>
      <c r="D357" s="1" t="s">
        <v>931</v>
      </c>
      <c r="E357" s="1" t="s">
        <v>106</v>
      </c>
      <c r="F357" s="1" t="s">
        <v>107</v>
      </c>
      <c r="G357" s="1">
        <v>25</v>
      </c>
      <c r="H357" s="1">
        <v>58398</v>
      </c>
      <c r="I357" s="1">
        <v>1459950</v>
      </c>
      <c r="J357" s="1">
        <v>214285</v>
      </c>
      <c r="K357" s="1">
        <v>1245665</v>
      </c>
      <c r="L357" s="1">
        <v>1245665</v>
      </c>
      <c r="M357" s="1" t="s">
        <v>39</v>
      </c>
      <c r="N357" s="1" t="s">
        <v>61</v>
      </c>
      <c r="O357" s="1" t="s">
        <v>62</v>
      </c>
      <c r="P357" s="1" t="s">
        <v>27</v>
      </c>
      <c r="Q357" s="1">
        <v>2022</v>
      </c>
      <c r="R357" s="1">
        <v>10</v>
      </c>
      <c r="S357" s="1" t="s">
        <v>28</v>
      </c>
    </row>
    <row r="358" spans="1:19" x14ac:dyDescent="0.35">
      <c r="A358" s="1" t="s">
        <v>932</v>
      </c>
      <c r="B358" s="2">
        <v>44547</v>
      </c>
      <c r="C358" s="1" t="s">
        <v>867</v>
      </c>
      <c r="D358" s="1" t="s">
        <v>785</v>
      </c>
      <c r="E358" s="1" t="s">
        <v>22</v>
      </c>
      <c r="F358" s="1" t="s">
        <v>23</v>
      </c>
      <c r="G358" s="1">
        <v>24</v>
      </c>
      <c r="H358" s="1">
        <v>1663</v>
      </c>
      <c r="I358" s="1">
        <v>39912</v>
      </c>
      <c r="J358" s="1">
        <v>7359</v>
      </c>
      <c r="K358" s="1">
        <v>32553</v>
      </c>
      <c r="L358" s="1">
        <v>32553</v>
      </c>
      <c r="M358" s="1" t="s">
        <v>34</v>
      </c>
      <c r="N358" s="1" t="s">
        <v>48</v>
      </c>
      <c r="O358" s="1" t="s">
        <v>49</v>
      </c>
      <c r="P358" s="1" t="s">
        <v>27</v>
      </c>
      <c r="Q358" s="1">
        <v>2021</v>
      </c>
      <c r="R358" s="1">
        <v>12</v>
      </c>
      <c r="S358" s="1" t="s">
        <v>28</v>
      </c>
    </row>
    <row r="359" spans="1:19" x14ac:dyDescent="0.35">
      <c r="A359" s="1" t="s">
        <v>933</v>
      </c>
      <c r="B359" s="2">
        <v>45248</v>
      </c>
      <c r="C359" s="1" t="s">
        <v>934</v>
      </c>
      <c r="D359" s="1" t="s">
        <v>935</v>
      </c>
      <c r="E359" s="1" t="s">
        <v>106</v>
      </c>
      <c r="F359" s="1" t="s">
        <v>107</v>
      </c>
      <c r="G359" s="1">
        <v>18</v>
      </c>
      <c r="H359" s="1">
        <v>18187</v>
      </c>
      <c r="I359" s="1">
        <v>327366</v>
      </c>
      <c r="J359" s="1">
        <v>23579</v>
      </c>
      <c r="K359" s="1">
        <v>303787</v>
      </c>
      <c r="L359" s="1">
        <v>303787</v>
      </c>
      <c r="M359" s="1" t="s">
        <v>39</v>
      </c>
      <c r="N359" s="1" t="s">
        <v>101</v>
      </c>
      <c r="O359" s="1" t="s">
        <v>102</v>
      </c>
      <c r="P359" s="1" t="s">
        <v>27</v>
      </c>
      <c r="Q359" s="1">
        <v>2023</v>
      </c>
      <c r="R359" s="1">
        <v>11</v>
      </c>
      <c r="S359" s="1" t="s">
        <v>28</v>
      </c>
    </row>
    <row r="360" spans="1:19" x14ac:dyDescent="0.35">
      <c r="A360" s="1" t="s">
        <v>936</v>
      </c>
      <c r="B360" s="2">
        <v>43819</v>
      </c>
      <c r="C360" s="1" t="s">
        <v>937</v>
      </c>
      <c r="D360" s="1" t="s">
        <v>938</v>
      </c>
      <c r="E360" s="1" t="s">
        <v>124</v>
      </c>
      <c r="F360" s="1" t="s">
        <v>107</v>
      </c>
      <c r="G360" s="1">
        <v>29</v>
      </c>
      <c r="H360" s="1">
        <v>45479</v>
      </c>
      <c r="I360" s="1">
        <v>1318891</v>
      </c>
      <c r="J360" s="1">
        <v>103422</v>
      </c>
      <c r="K360" s="1">
        <v>1215469</v>
      </c>
      <c r="L360" s="1">
        <v>1215469</v>
      </c>
      <c r="M360" s="1" t="s">
        <v>66</v>
      </c>
      <c r="N360" s="1" t="s">
        <v>54</v>
      </c>
      <c r="O360" s="1" t="s">
        <v>67</v>
      </c>
      <c r="P360" s="1" t="s">
        <v>27</v>
      </c>
      <c r="Q360" s="1">
        <v>2019</v>
      </c>
      <c r="R360" s="1">
        <v>12</v>
      </c>
      <c r="S360" s="1" t="s">
        <v>28</v>
      </c>
    </row>
    <row r="361" spans="1:19" x14ac:dyDescent="0.35">
      <c r="A361" s="1" t="s">
        <v>939</v>
      </c>
      <c r="B361" s="2">
        <v>43876</v>
      </c>
      <c r="C361" s="1" t="s">
        <v>644</v>
      </c>
      <c r="D361" s="1" t="s">
        <v>931</v>
      </c>
      <c r="E361" s="1" t="s">
        <v>124</v>
      </c>
      <c r="F361" s="1" t="s">
        <v>107</v>
      </c>
      <c r="G361" s="1">
        <v>8</v>
      </c>
      <c r="H361" s="1">
        <v>2266</v>
      </c>
      <c r="I361" s="1">
        <v>18128</v>
      </c>
      <c r="J361" s="1">
        <v>3419</v>
      </c>
      <c r="K361" s="1">
        <v>14709</v>
      </c>
      <c r="L361" s="1">
        <v>14709</v>
      </c>
      <c r="M361" s="1" t="s">
        <v>34</v>
      </c>
      <c r="N361" s="1" t="s">
        <v>40</v>
      </c>
      <c r="O361" s="1" t="s">
        <v>75</v>
      </c>
      <c r="P361" s="1" t="s">
        <v>27</v>
      </c>
      <c r="Q361" s="1">
        <v>2020</v>
      </c>
      <c r="R361" s="1">
        <v>2</v>
      </c>
      <c r="S361" s="1" t="s">
        <v>68</v>
      </c>
    </row>
    <row r="362" spans="1:19" x14ac:dyDescent="0.35">
      <c r="A362" s="1" t="s">
        <v>940</v>
      </c>
      <c r="B362" s="2">
        <v>45640</v>
      </c>
      <c r="C362" s="1" t="s">
        <v>941</v>
      </c>
      <c r="D362" s="1" t="s">
        <v>802</v>
      </c>
      <c r="E362" s="1" t="s">
        <v>60</v>
      </c>
      <c r="F362" s="1" t="s">
        <v>46</v>
      </c>
      <c r="G362" s="1">
        <v>8</v>
      </c>
      <c r="H362" s="1">
        <v>15258</v>
      </c>
      <c r="I362" s="1">
        <v>122064</v>
      </c>
      <c r="J362" s="1">
        <v>6795</v>
      </c>
      <c r="K362" s="1">
        <v>115269</v>
      </c>
      <c r="L362" s="1">
        <v>115269</v>
      </c>
      <c r="M362" s="1" t="s">
        <v>34</v>
      </c>
      <c r="N362" s="1" t="s">
        <v>48</v>
      </c>
      <c r="O362" s="1" t="s">
        <v>49</v>
      </c>
      <c r="P362" s="1" t="s">
        <v>27</v>
      </c>
      <c r="Q362" s="1">
        <v>2024</v>
      </c>
      <c r="R362" s="1">
        <v>12</v>
      </c>
      <c r="S362" s="1" t="s">
        <v>28</v>
      </c>
    </row>
    <row r="363" spans="1:19" x14ac:dyDescent="0.35">
      <c r="A363" s="1" t="s">
        <v>942</v>
      </c>
      <c r="B363" s="2">
        <v>45643</v>
      </c>
      <c r="C363" s="1" t="s">
        <v>943</v>
      </c>
      <c r="D363" s="1" t="s">
        <v>944</v>
      </c>
      <c r="E363" s="1" t="s">
        <v>124</v>
      </c>
      <c r="F363" s="1" t="s">
        <v>107</v>
      </c>
      <c r="G363" s="1">
        <v>12</v>
      </c>
      <c r="H363" s="1">
        <v>26577</v>
      </c>
      <c r="I363" s="1">
        <v>318924</v>
      </c>
      <c r="J363" s="1">
        <v>18008</v>
      </c>
      <c r="K363" s="1">
        <v>300916</v>
      </c>
      <c r="L363" s="1">
        <v>300916</v>
      </c>
      <c r="M363" s="1" t="s">
        <v>47</v>
      </c>
      <c r="N363" s="1" t="s">
        <v>61</v>
      </c>
      <c r="O363" s="1" t="s">
        <v>62</v>
      </c>
      <c r="P363" s="1" t="s">
        <v>27</v>
      </c>
      <c r="Q363" s="1">
        <v>2024</v>
      </c>
      <c r="R363" s="1">
        <v>12</v>
      </c>
      <c r="S363" s="1" t="s">
        <v>28</v>
      </c>
    </row>
    <row r="364" spans="1:19" x14ac:dyDescent="0.35">
      <c r="A364" s="1" t="s">
        <v>945</v>
      </c>
      <c r="B364" s="2">
        <v>43619</v>
      </c>
      <c r="C364" s="1" t="s">
        <v>655</v>
      </c>
      <c r="D364" s="1" t="s">
        <v>811</v>
      </c>
      <c r="E364" s="1" t="s">
        <v>124</v>
      </c>
      <c r="F364" s="1" t="s">
        <v>107</v>
      </c>
      <c r="G364" s="1">
        <v>27</v>
      </c>
      <c r="H364" s="1">
        <v>27060</v>
      </c>
      <c r="I364" s="1">
        <v>730620</v>
      </c>
      <c r="J364" s="1">
        <v>85994</v>
      </c>
      <c r="K364" s="1">
        <v>644626</v>
      </c>
      <c r="L364" s="1">
        <v>644626</v>
      </c>
      <c r="M364" s="1" t="s">
        <v>47</v>
      </c>
      <c r="N364" s="1" t="s">
        <v>54</v>
      </c>
      <c r="O364" s="1" t="s">
        <v>55</v>
      </c>
      <c r="P364" s="1" t="s">
        <v>27</v>
      </c>
      <c r="Q364" s="1">
        <v>2019</v>
      </c>
      <c r="R364" s="1">
        <v>6</v>
      </c>
      <c r="S364" s="1" t="s">
        <v>35</v>
      </c>
    </row>
    <row r="365" spans="1:19" x14ac:dyDescent="0.35">
      <c r="A365" s="1" t="s">
        <v>946</v>
      </c>
      <c r="B365" s="2">
        <v>43543</v>
      </c>
      <c r="C365" s="1" t="s">
        <v>947</v>
      </c>
      <c r="D365" s="1" t="s">
        <v>928</v>
      </c>
      <c r="E365" s="1" t="s">
        <v>60</v>
      </c>
      <c r="F365" s="1" t="s">
        <v>46</v>
      </c>
      <c r="G365" s="1">
        <v>9</v>
      </c>
      <c r="H365" s="1">
        <v>27381</v>
      </c>
      <c r="I365" s="1">
        <v>246429</v>
      </c>
      <c r="J365" s="1">
        <v>16213</v>
      </c>
      <c r="K365" s="1">
        <v>230216</v>
      </c>
      <c r="L365" s="1">
        <v>230216</v>
      </c>
      <c r="M365" s="1" t="s">
        <v>84</v>
      </c>
      <c r="N365" s="1" t="s">
        <v>48</v>
      </c>
      <c r="O365" s="1" t="s">
        <v>49</v>
      </c>
      <c r="P365" s="1" t="s">
        <v>27</v>
      </c>
      <c r="Q365" s="1">
        <v>2019</v>
      </c>
      <c r="R365" s="1">
        <v>3</v>
      </c>
      <c r="S365" s="1" t="s">
        <v>68</v>
      </c>
    </row>
    <row r="366" spans="1:19" x14ac:dyDescent="0.35">
      <c r="A366" s="1" t="s">
        <v>948</v>
      </c>
      <c r="B366" s="2">
        <v>44496</v>
      </c>
      <c r="C366" s="1" t="s">
        <v>110</v>
      </c>
      <c r="D366" s="1" t="s">
        <v>507</v>
      </c>
      <c r="E366" s="1" t="s">
        <v>53</v>
      </c>
      <c r="F366" s="1" t="s">
        <v>33</v>
      </c>
      <c r="G366" s="1">
        <v>21</v>
      </c>
      <c r="H366" s="1">
        <v>12989</v>
      </c>
      <c r="I366" s="1">
        <v>272769</v>
      </c>
      <c r="J366" s="1">
        <v>25019</v>
      </c>
      <c r="K366" s="1">
        <v>247750</v>
      </c>
      <c r="L366" s="1">
        <v>247750</v>
      </c>
      <c r="M366" s="1" t="s">
        <v>39</v>
      </c>
      <c r="N366" s="1" t="s">
        <v>61</v>
      </c>
      <c r="O366" s="1" t="s">
        <v>62</v>
      </c>
      <c r="P366" s="1" t="s">
        <v>27</v>
      </c>
      <c r="Q366" s="1">
        <v>2021</v>
      </c>
      <c r="R366" s="1">
        <v>10</v>
      </c>
      <c r="S366" s="1" t="s">
        <v>28</v>
      </c>
    </row>
    <row r="367" spans="1:19" x14ac:dyDescent="0.35">
      <c r="A367" s="1" t="s">
        <v>949</v>
      </c>
      <c r="B367" s="2">
        <v>43752</v>
      </c>
      <c r="C367" s="1" t="s">
        <v>950</v>
      </c>
      <c r="D367" s="1" t="s">
        <v>900</v>
      </c>
      <c r="E367" s="1" t="s">
        <v>53</v>
      </c>
      <c r="F367" s="1" t="s">
        <v>33</v>
      </c>
      <c r="G367" s="1">
        <v>18</v>
      </c>
      <c r="H367" s="1">
        <v>44480</v>
      </c>
      <c r="I367" s="1">
        <v>800640</v>
      </c>
      <c r="J367" s="1">
        <v>25730</v>
      </c>
      <c r="K367" s="1">
        <v>774910</v>
      </c>
      <c r="L367" s="1">
        <v>774910</v>
      </c>
      <c r="M367" s="1" t="s">
        <v>66</v>
      </c>
      <c r="N367" s="1" t="s">
        <v>25</v>
      </c>
      <c r="O367" s="1" t="s">
        <v>26</v>
      </c>
      <c r="P367" s="1" t="s">
        <v>27</v>
      </c>
      <c r="Q367" s="1">
        <v>2019</v>
      </c>
      <c r="R367" s="1">
        <v>10</v>
      </c>
      <c r="S367" s="1" t="s">
        <v>28</v>
      </c>
    </row>
    <row r="368" spans="1:19" x14ac:dyDescent="0.35">
      <c r="A368" s="1" t="s">
        <v>951</v>
      </c>
      <c r="B368" s="2">
        <v>45171</v>
      </c>
      <c r="C368" s="1" t="s">
        <v>806</v>
      </c>
      <c r="D368" s="1" t="s">
        <v>160</v>
      </c>
      <c r="E368" s="1" t="s">
        <v>106</v>
      </c>
      <c r="F368" s="1" t="s">
        <v>107</v>
      </c>
      <c r="G368" s="1">
        <v>20</v>
      </c>
      <c r="H368" s="1">
        <v>42391</v>
      </c>
      <c r="I368" s="1">
        <v>847820</v>
      </c>
      <c r="J368" s="1">
        <v>2073</v>
      </c>
      <c r="K368" s="1">
        <v>845747</v>
      </c>
      <c r="L368" s="1">
        <v>845747</v>
      </c>
      <c r="M368" s="1" t="s">
        <v>24</v>
      </c>
      <c r="N368" s="1" t="s">
        <v>40</v>
      </c>
      <c r="O368" s="1" t="s">
        <v>75</v>
      </c>
      <c r="P368" s="1" t="s">
        <v>27</v>
      </c>
      <c r="Q368" s="1">
        <v>2023</v>
      </c>
      <c r="R368" s="1">
        <v>9</v>
      </c>
      <c r="S368" s="1" t="s">
        <v>56</v>
      </c>
    </row>
    <row r="369" spans="1:19" x14ac:dyDescent="0.35">
      <c r="A369" s="1" t="s">
        <v>952</v>
      </c>
      <c r="B369" s="2">
        <v>45082</v>
      </c>
      <c r="C369" s="1" t="s">
        <v>953</v>
      </c>
      <c r="D369" s="1" t="s">
        <v>954</v>
      </c>
      <c r="E369" s="1" t="s">
        <v>32</v>
      </c>
      <c r="F369" s="1" t="s">
        <v>33</v>
      </c>
      <c r="G369" s="1">
        <v>6</v>
      </c>
      <c r="H369" s="1">
        <v>35031</v>
      </c>
      <c r="I369" s="1">
        <v>210186</v>
      </c>
      <c r="J369" s="1">
        <v>37113</v>
      </c>
      <c r="K369" s="1">
        <v>173073</v>
      </c>
      <c r="L369" s="1">
        <v>173073</v>
      </c>
      <c r="M369" s="1" t="s">
        <v>66</v>
      </c>
      <c r="N369" s="1" t="s">
        <v>48</v>
      </c>
      <c r="O369" s="1" t="s">
        <v>49</v>
      </c>
      <c r="P369" s="1" t="s">
        <v>27</v>
      </c>
      <c r="Q369" s="1">
        <v>2023</v>
      </c>
      <c r="R369" s="1">
        <v>6</v>
      </c>
      <c r="S369" s="1" t="s">
        <v>35</v>
      </c>
    </row>
    <row r="370" spans="1:19" x14ac:dyDescent="0.35">
      <c r="A370" s="1" t="s">
        <v>955</v>
      </c>
      <c r="B370" s="2">
        <v>45091</v>
      </c>
      <c r="C370" s="1" t="s">
        <v>113</v>
      </c>
      <c r="D370" s="1" t="s">
        <v>956</v>
      </c>
      <c r="E370" s="1" t="s">
        <v>79</v>
      </c>
      <c r="F370" s="1" t="s">
        <v>23</v>
      </c>
      <c r="G370" s="1">
        <v>22</v>
      </c>
      <c r="H370" s="1">
        <v>41197</v>
      </c>
      <c r="I370" s="1">
        <v>906334</v>
      </c>
      <c r="J370" s="1">
        <v>105173</v>
      </c>
      <c r="K370" s="1">
        <v>801161</v>
      </c>
      <c r="L370" s="1">
        <v>801161</v>
      </c>
      <c r="M370" s="1" t="s">
        <v>24</v>
      </c>
      <c r="N370" s="1" t="s">
        <v>61</v>
      </c>
      <c r="O370" s="1" t="s">
        <v>88</v>
      </c>
      <c r="P370" s="1" t="s">
        <v>27</v>
      </c>
      <c r="Q370" s="1">
        <v>2023</v>
      </c>
      <c r="R370" s="1">
        <v>6</v>
      </c>
      <c r="S370" s="1" t="s">
        <v>35</v>
      </c>
    </row>
    <row r="371" spans="1:19" x14ac:dyDescent="0.35">
      <c r="A371" s="1" t="s">
        <v>957</v>
      </c>
      <c r="B371" s="2">
        <v>44314</v>
      </c>
      <c r="C371" s="1" t="s">
        <v>290</v>
      </c>
      <c r="D371" s="1" t="s">
        <v>785</v>
      </c>
      <c r="E371" s="1" t="s">
        <v>32</v>
      </c>
      <c r="F371" s="1" t="s">
        <v>33</v>
      </c>
      <c r="G371" s="1">
        <v>4</v>
      </c>
      <c r="H371" s="1">
        <v>29723</v>
      </c>
      <c r="I371" s="1">
        <v>118892</v>
      </c>
      <c r="J371" s="1">
        <v>10602</v>
      </c>
      <c r="K371" s="1">
        <v>108290</v>
      </c>
      <c r="L371" s="1">
        <v>108290</v>
      </c>
      <c r="M371" s="1" t="s">
        <v>24</v>
      </c>
      <c r="N371" s="1" t="s">
        <v>25</v>
      </c>
      <c r="O371" s="1" t="s">
        <v>26</v>
      </c>
      <c r="P371" s="1" t="s">
        <v>27</v>
      </c>
      <c r="Q371" s="1">
        <v>2021</v>
      </c>
      <c r="R371" s="1">
        <v>4</v>
      </c>
      <c r="S371" s="1" t="s">
        <v>35</v>
      </c>
    </row>
    <row r="372" spans="1:19" x14ac:dyDescent="0.35">
      <c r="A372" s="1" t="s">
        <v>958</v>
      </c>
      <c r="B372" s="2">
        <v>43811</v>
      </c>
      <c r="C372" s="1" t="s">
        <v>959</v>
      </c>
      <c r="D372" s="1" t="s">
        <v>151</v>
      </c>
      <c r="E372" s="1" t="s">
        <v>60</v>
      </c>
      <c r="F372" s="1" t="s">
        <v>46</v>
      </c>
      <c r="G372" s="1">
        <v>30</v>
      </c>
      <c r="H372" s="1">
        <v>45832</v>
      </c>
      <c r="I372" s="1">
        <v>1374960</v>
      </c>
      <c r="J372" s="1">
        <v>37808</v>
      </c>
      <c r="K372" s="1">
        <v>1337152</v>
      </c>
      <c r="L372" s="1">
        <v>1337152</v>
      </c>
      <c r="M372" s="1" t="s">
        <v>24</v>
      </c>
      <c r="N372" s="1" t="s">
        <v>25</v>
      </c>
      <c r="O372" s="1" t="s">
        <v>80</v>
      </c>
      <c r="P372" s="1" t="s">
        <v>27</v>
      </c>
      <c r="Q372" s="1">
        <v>2019</v>
      </c>
      <c r="R372" s="1">
        <v>12</v>
      </c>
      <c r="S372" s="1" t="s">
        <v>28</v>
      </c>
    </row>
    <row r="373" spans="1:19" x14ac:dyDescent="0.35">
      <c r="A373" s="1" t="s">
        <v>960</v>
      </c>
      <c r="B373" s="2">
        <v>45548</v>
      </c>
      <c r="C373" s="1" t="s">
        <v>820</v>
      </c>
      <c r="D373" s="1" t="s">
        <v>166</v>
      </c>
      <c r="E373" s="1" t="s">
        <v>32</v>
      </c>
      <c r="F373" s="1" t="s">
        <v>33</v>
      </c>
      <c r="G373" s="1">
        <v>5</v>
      </c>
      <c r="H373" s="1">
        <v>3365</v>
      </c>
      <c r="I373" s="1">
        <v>16825</v>
      </c>
      <c r="J373" s="1">
        <v>1665</v>
      </c>
      <c r="K373" s="1">
        <v>15160</v>
      </c>
      <c r="L373" s="1">
        <v>15160</v>
      </c>
      <c r="M373" s="1" t="s">
        <v>66</v>
      </c>
      <c r="N373" s="1" t="s">
        <v>101</v>
      </c>
      <c r="O373" s="1" t="s">
        <v>102</v>
      </c>
      <c r="P373" s="1" t="s">
        <v>27</v>
      </c>
      <c r="Q373" s="1">
        <v>2024</v>
      </c>
      <c r="R373" s="1">
        <v>9</v>
      </c>
      <c r="S373" s="1" t="s">
        <v>56</v>
      </c>
    </row>
    <row r="374" spans="1:19" x14ac:dyDescent="0.35">
      <c r="A374" s="1" t="s">
        <v>961</v>
      </c>
      <c r="B374" s="2">
        <v>45280</v>
      </c>
      <c r="C374" s="1" t="s">
        <v>962</v>
      </c>
      <c r="D374" s="1" t="s">
        <v>963</v>
      </c>
      <c r="E374" s="1" t="s">
        <v>124</v>
      </c>
      <c r="F374" s="1" t="s">
        <v>107</v>
      </c>
      <c r="G374" s="1">
        <v>29</v>
      </c>
      <c r="H374" s="1">
        <v>59243</v>
      </c>
      <c r="I374" s="1">
        <v>1718047</v>
      </c>
      <c r="J374" s="1">
        <v>300327</v>
      </c>
      <c r="K374" s="1">
        <v>1417720</v>
      </c>
      <c r="L374" s="1">
        <v>1417720</v>
      </c>
      <c r="M374" s="1" t="s">
        <v>24</v>
      </c>
      <c r="N374" s="1" t="s">
        <v>40</v>
      </c>
      <c r="O374" s="1" t="s">
        <v>41</v>
      </c>
      <c r="P374" s="1" t="s">
        <v>27</v>
      </c>
      <c r="Q374" s="1">
        <v>2023</v>
      </c>
      <c r="R374" s="1">
        <v>12</v>
      </c>
      <c r="S374" s="1" t="s">
        <v>28</v>
      </c>
    </row>
    <row r="375" spans="1:19" x14ac:dyDescent="0.35">
      <c r="A375" s="1" t="s">
        <v>964</v>
      </c>
      <c r="B375" s="2">
        <v>44534</v>
      </c>
      <c r="C375" s="1" t="s">
        <v>965</v>
      </c>
      <c r="D375" s="1" t="s">
        <v>966</v>
      </c>
      <c r="E375" s="1" t="s">
        <v>22</v>
      </c>
      <c r="F375" s="1" t="s">
        <v>23</v>
      </c>
      <c r="G375" s="1">
        <v>18</v>
      </c>
      <c r="H375" s="1">
        <v>58073</v>
      </c>
      <c r="I375" s="1">
        <v>1045314</v>
      </c>
      <c r="J375" s="1">
        <v>169636</v>
      </c>
      <c r="K375" s="1">
        <v>875678</v>
      </c>
      <c r="L375" s="1">
        <v>875678</v>
      </c>
      <c r="M375" s="1" t="s">
        <v>66</v>
      </c>
      <c r="N375" s="1" t="s">
        <v>54</v>
      </c>
      <c r="O375" s="1" t="s">
        <v>55</v>
      </c>
      <c r="P375" s="1" t="s">
        <v>27</v>
      </c>
      <c r="Q375" s="1">
        <v>2021</v>
      </c>
      <c r="R375" s="1">
        <v>12</v>
      </c>
      <c r="S375" s="1" t="s">
        <v>28</v>
      </c>
    </row>
    <row r="376" spans="1:19" x14ac:dyDescent="0.35">
      <c r="A376" s="1" t="s">
        <v>967</v>
      </c>
      <c r="B376" s="2">
        <v>44855</v>
      </c>
      <c r="C376" s="1" t="s">
        <v>512</v>
      </c>
      <c r="D376" s="1" t="s">
        <v>893</v>
      </c>
      <c r="E376" s="1" t="s">
        <v>45</v>
      </c>
      <c r="F376" s="1" t="s">
        <v>46</v>
      </c>
      <c r="G376" s="1">
        <v>8</v>
      </c>
      <c r="H376" s="1">
        <v>29559</v>
      </c>
      <c r="I376" s="1">
        <v>236472</v>
      </c>
      <c r="J376" s="1">
        <v>10250</v>
      </c>
      <c r="K376" s="1">
        <v>226222</v>
      </c>
      <c r="L376" s="1">
        <v>226222</v>
      </c>
      <c r="M376" s="1" t="s">
        <v>66</v>
      </c>
      <c r="N376" s="1" t="s">
        <v>48</v>
      </c>
      <c r="O376" s="1" t="s">
        <v>49</v>
      </c>
      <c r="P376" s="1" t="s">
        <v>27</v>
      </c>
      <c r="Q376" s="1">
        <v>2022</v>
      </c>
      <c r="R376" s="1">
        <v>10</v>
      </c>
      <c r="S376" s="1" t="s">
        <v>28</v>
      </c>
    </row>
    <row r="377" spans="1:19" x14ac:dyDescent="0.35">
      <c r="A377" s="1" t="s">
        <v>968</v>
      </c>
      <c r="B377" s="2">
        <v>43542</v>
      </c>
      <c r="C377" s="1" t="s">
        <v>281</v>
      </c>
      <c r="D377" s="1" t="s">
        <v>969</v>
      </c>
      <c r="E377" s="1" t="s">
        <v>32</v>
      </c>
      <c r="F377" s="1" t="s">
        <v>33</v>
      </c>
      <c r="G377" s="1">
        <v>12</v>
      </c>
      <c r="H377" s="1">
        <v>17097</v>
      </c>
      <c r="I377" s="1">
        <v>205164</v>
      </c>
      <c r="J377" s="1">
        <v>11476</v>
      </c>
      <c r="K377" s="1">
        <v>193688</v>
      </c>
      <c r="L377" s="1">
        <v>193688</v>
      </c>
      <c r="M377" s="1" t="s">
        <v>24</v>
      </c>
      <c r="N377" s="1" t="s">
        <v>25</v>
      </c>
      <c r="O377" s="1" t="s">
        <v>80</v>
      </c>
      <c r="P377" s="1" t="s">
        <v>27</v>
      </c>
      <c r="Q377" s="1">
        <v>2019</v>
      </c>
      <c r="R377" s="1">
        <v>3</v>
      </c>
      <c r="S377" s="1" t="s">
        <v>68</v>
      </c>
    </row>
    <row r="378" spans="1:19" x14ac:dyDescent="0.35">
      <c r="A378" s="1" t="s">
        <v>970</v>
      </c>
      <c r="B378" s="2">
        <v>45130</v>
      </c>
      <c r="C378" s="1" t="s">
        <v>582</v>
      </c>
      <c r="D378" s="1" t="s">
        <v>240</v>
      </c>
      <c r="E378" s="1" t="s">
        <v>45</v>
      </c>
      <c r="F378" s="1" t="s">
        <v>46</v>
      </c>
      <c r="G378" s="1">
        <v>10</v>
      </c>
      <c r="H378" s="1">
        <v>50297</v>
      </c>
      <c r="I378" s="1">
        <v>502970</v>
      </c>
      <c r="J378" s="1">
        <v>64457</v>
      </c>
      <c r="K378" s="1">
        <v>438513</v>
      </c>
      <c r="L378" s="1">
        <v>438513</v>
      </c>
      <c r="M378" s="1" t="s">
        <v>24</v>
      </c>
      <c r="N378" s="1" t="s">
        <v>40</v>
      </c>
      <c r="O378" s="1" t="s">
        <v>75</v>
      </c>
      <c r="P378" s="1" t="s">
        <v>27</v>
      </c>
      <c r="Q378" s="1">
        <v>2023</v>
      </c>
      <c r="R378" s="1">
        <v>7</v>
      </c>
      <c r="S378" s="1" t="s">
        <v>56</v>
      </c>
    </row>
    <row r="379" spans="1:19" x14ac:dyDescent="0.35">
      <c r="A379" s="1" t="s">
        <v>971</v>
      </c>
      <c r="B379" s="2">
        <v>43661</v>
      </c>
      <c r="C379" s="1" t="s">
        <v>532</v>
      </c>
      <c r="D379" s="1" t="s">
        <v>972</v>
      </c>
      <c r="E379" s="1" t="s">
        <v>45</v>
      </c>
      <c r="F379" s="1" t="s">
        <v>46</v>
      </c>
      <c r="G379" s="1">
        <v>5</v>
      </c>
      <c r="H379" s="1">
        <v>11350</v>
      </c>
      <c r="I379" s="1">
        <v>56750</v>
      </c>
      <c r="J379" s="1">
        <v>11213</v>
      </c>
      <c r="K379" s="1">
        <v>45537</v>
      </c>
      <c r="L379" s="1">
        <v>45537</v>
      </c>
      <c r="M379" s="1" t="s">
        <v>34</v>
      </c>
      <c r="N379" s="1" t="s">
        <v>25</v>
      </c>
      <c r="O379" s="1" t="s">
        <v>26</v>
      </c>
      <c r="P379" s="1" t="s">
        <v>27</v>
      </c>
      <c r="Q379" s="1">
        <v>2019</v>
      </c>
      <c r="R379" s="1">
        <v>7</v>
      </c>
      <c r="S379" s="1" t="s">
        <v>56</v>
      </c>
    </row>
    <row r="380" spans="1:19" x14ac:dyDescent="0.35">
      <c r="A380" s="1" t="s">
        <v>973</v>
      </c>
      <c r="B380" s="2">
        <v>44576</v>
      </c>
      <c r="C380" s="1" t="s">
        <v>278</v>
      </c>
      <c r="D380" s="1" t="s">
        <v>334</v>
      </c>
      <c r="E380" s="1" t="s">
        <v>79</v>
      </c>
      <c r="F380" s="1" t="s">
        <v>23</v>
      </c>
      <c r="G380" s="1">
        <v>16</v>
      </c>
      <c r="H380" s="1">
        <v>42862</v>
      </c>
      <c r="I380" s="1">
        <v>685792</v>
      </c>
      <c r="J380" s="1">
        <v>131127</v>
      </c>
      <c r="K380" s="1">
        <v>554665</v>
      </c>
      <c r="L380" s="1">
        <v>554665</v>
      </c>
      <c r="M380" s="1" t="s">
        <v>47</v>
      </c>
      <c r="N380" s="1" t="s">
        <v>101</v>
      </c>
      <c r="O380" s="1" t="s">
        <v>102</v>
      </c>
      <c r="P380" s="1" t="s">
        <v>27</v>
      </c>
      <c r="Q380" s="1">
        <v>2022</v>
      </c>
      <c r="R380" s="1">
        <v>1</v>
      </c>
      <c r="S380" s="1" t="s">
        <v>68</v>
      </c>
    </row>
    <row r="381" spans="1:19" x14ac:dyDescent="0.35">
      <c r="A381" s="1" t="s">
        <v>974</v>
      </c>
      <c r="B381" s="2">
        <v>43959</v>
      </c>
      <c r="C381" s="1" t="s">
        <v>461</v>
      </c>
      <c r="D381" s="1" t="s">
        <v>416</v>
      </c>
      <c r="E381" s="1" t="s">
        <v>45</v>
      </c>
      <c r="F381" s="1" t="s">
        <v>46</v>
      </c>
      <c r="G381" s="1">
        <v>22</v>
      </c>
      <c r="H381" s="1">
        <v>41811</v>
      </c>
      <c r="I381" s="1">
        <v>919842</v>
      </c>
      <c r="J381" s="1">
        <v>72409</v>
      </c>
      <c r="K381" s="1">
        <v>847433</v>
      </c>
      <c r="L381" s="1">
        <v>847433</v>
      </c>
      <c r="M381" s="1" t="s">
        <v>84</v>
      </c>
      <c r="N381" s="1" t="s">
        <v>101</v>
      </c>
      <c r="O381" s="1" t="s">
        <v>108</v>
      </c>
      <c r="P381" s="1" t="s">
        <v>27</v>
      </c>
      <c r="Q381" s="1">
        <v>2020</v>
      </c>
      <c r="R381" s="1">
        <v>5</v>
      </c>
      <c r="S381" s="1" t="s">
        <v>35</v>
      </c>
    </row>
    <row r="382" spans="1:19" x14ac:dyDescent="0.35">
      <c r="A382" s="1" t="s">
        <v>975</v>
      </c>
      <c r="B382" s="2">
        <v>44583</v>
      </c>
      <c r="C382" s="1" t="s">
        <v>247</v>
      </c>
      <c r="D382" s="1" t="s">
        <v>390</v>
      </c>
      <c r="E382" s="1" t="s">
        <v>79</v>
      </c>
      <c r="F382" s="1" t="s">
        <v>23</v>
      </c>
      <c r="G382" s="1">
        <v>7</v>
      </c>
      <c r="H382" s="1">
        <v>51374</v>
      </c>
      <c r="I382" s="1">
        <v>359618</v>
      </c>
      <c r="J382" s="1">
        <v>39847</v>
      </c>
      <c r="K382" s="1">
        <v>319771</v>
      </c>
      <c r="L382" s="1">
        <v>319771</v>
      </c>
      <c r="M382" s="1" t="s">
        <v>39</v>
      </c>
      <c r="N382" s="1" t="s">
        <v>61</v>
      </c>
      <c r="O382" s="1" t="s">
        <v>62</v>
      </c>
      <c r="P382" s="1" t="s">
        <v>27</v>
      </c>
      <c r="Q382" s="1">
        <v>2022</v>
      </c>
      <c r="R382" s="1">
        <v>1</v>
      </c>
      <c r="S382" s="1" t="s">
        <v>68</v>
      </c>
    </row>
    <row r="383" spans="1:19" x14ac:dyDescent="0.35">
      <c r="A383" s="1" t="s">
        <v>976</v>
      </c>
      <c r="B383" s="2">
        <v>45436</v>
      </c>
      <c r="C383" s="1" t="s">
        <v>977</v>
      </c>
      <c r="D383" s="1" t="s">
        <v>154</v>
      </c>
      <c r="E383" s="1" t="s">
        <v>60</v>
      </c>
      <c r="F383" s="1" t="s">
        <v>46</v>
      </c>
      <c r="G383" s="1">
        <v>30</v>
      </c>
      <c r="H383" s="1">
        <v>24019</v>
      </c>
      <c r="I383" s="1">
        <v>720570</v>
      </c>
      <c r="J383" s="1">
        <v>80210</v>
      </c>
      <c r="K383" s="1">
        <v>640360</v>
      </c>
      <c r="L383" s="1">
        <v>640360</v>
      </c>
      <c r="M383" s="1" t="s">
        <v>39</v>
      </c>
      <c r="N383" s="1" t="s">
        <v>40</v>
      </c>
      <c r="O383" s="1" t="s">
        <v>41</v>
      </c>
      <c r="P383" s="1" t="s">
        <v>27</v>
      </c>
      <c r="Q383" s="1">
        <v>2024</v>
      </c>
      <c r="R383" s="1">
        <v>5</v>
      </c>
      <c r="S383" s="1" t="s">
        <v>35</v>
      </c>
    </row>
    <row r="384" spans="1:19" x14ac:dyDescent="0.35">
      <c r="A384" s="1" t="s">
        <v>978</v>
      </c>
      <c r="B384" s="2">
        <v>45050</v>
      </c>
      <c r="C384" s="1" t="s">
        <v>979</v>
      </c>
      <c r="D384" s="1" t="s">
        <v>622</v>
      </c>
      <c r="E384" s="1" t="s">
        <v>53</v>
      </c>
      <c r="F384" s="1" t="s">
        <v>33</v>
      </c>
      <c r="G384" s="1">
        <v>23</v>
      </c>
      <c r="H384" s="1">
        <v>35452</v>
      </c>
      <c r="I384" s="1">
        <v>815396</v>
      </c>
      <c r="J384" s="1">
        <v>85575</v>
      </c>
      <c r="K384" s="1">
        <v>729821</v>
      </c>
      <c r="L384" s="1">
        <v>729821</v>
      </c>
      <c r="M384" s="1" t="s">
        <v>47</v>
      </c>
      <c r="N384" s="1" t="s">
        <v>25</v>
      </c>
      <c r="O384" s="1" t="s">
        <v>80</v>
      </c>
      <c r="P384" s="1" t="s">
        <v>27</v>
      </c>
      <c r="Q384" s="1">
        <v>2023</v>
      </c>
      <c r="R384" s="1">
        <v>5</v>
      </c>
      <c r="S384" s="1" t="s">
        <v>35</v>
      </c>
    </row>
    <row r="385" spans="1:19" x14ac:dyDescent="0.35">
      <c r="A385" s="1" t="s">
        <v>980</v>
      </c>
      <c r="B385" s="2">
        <v>44183</v>
      </c>
      <c r="C385" s="1" t="s">
        <v>58</v>
      </c>
      <c r="D385" s="1" t="s">
        <v>981</v>
      </c>
      <c r="E385" s="1" t="s">
        <v>106</v>
      </c>
      <c r="F385" s="1" t="s">
        <v>107</v>
      </c>
      <c r="G385" s="1">
        <v>10</v>
      </c>
      <c r="H385" s="1">
        <v>751</v>
      </c>
      <c r="I385" s="1">
        <v>7510</v>
      </c>
      <c r="J385" s="1">
        <v>693</v>
      </c>
      <c r="K385" s="1">
        <v>6817</v>
      </c>
      <c r="L385" s="1">
        <v>6817</v>
      </c>
      <c r="M385" s="1" t="s">
        <v>84</v>
      </c>
      <c r="N385" s="1" t="s">
        <v>101</v>
      </c>
      <c r="O385" s="1" t="s">
        <v>108</v>
      </c>
      <c r="P385" s="1" t="s">
        <v>27</v>
      </c>
      <c r="Q385" s="1">
        <v>2020</v>
      </c>
      <c r="R385" s="1">
        <v>12</v>
      </c>
      <c r="S385" s="1" t="s">
        <v>28</v>
      </c>
    </row>
    <row r="386" spans="1:19" x14ac:dyDescent="0.35">
      <c r="A386" s="1" t="s">
        <v>982</v>
      </c>
      <c r="B386" s="2">
        <v>44506</v>
      </c>
      <c r="C386" s="1" t="s">
        <v>983</v>
      </c>
      <c r="D386" s="1" t="s">
        <v>629</v>
      </c>
      <c r="E386" s="1" t="s">
        <v>124</v>
      </c>
      <c r="F386" s="1" t="s">
        <v>107</v>
      </c>
      <c r="G386" s="1">
        <v>3</v>
      </c>
      <c r="H386" s="1">
        <v>15148</v>
      </c>
      <c r="I386" s="1">
        <v>45444</v>
      </c>
      <c r="J386" s="1">
        <v>8933</v>
      </c>
      <c r="K386" s="1">
        <v>36511</v>
      </c>
      <c r="L386" s="1">
        <v>36511</v>
      </c>
      <c r="M386" s="1" t="s">
        <v>84</v>
      </c>
      <c r="N386" s="1" t="s">
        <v>61</v>
      </c>
      <c r="O386" s="1" t="s">
        <v>88</v>
      </c>
      <c r="P386" s="1" t="s">
        <v>27</v>
      </c>
      <c r="Q386" s="1">
        <v>2021</v>
      </c>
      <c r="R386" s="1">
        <v>11</v>
      </c>
      <c r="S386" s="1" t="s">
        <v>28</v>
      </c>
    </row>
    <row r="387" spans="1:19" x14ac:dyDescent="0.35">
      <c r="A387" s="1" t="s">
        <v>984</v>
      </c>
      <c r="B387" s="2">
        <v>43833</v>
      </c>
      <c r="C387" s="1" t="s">
        <v>985</v>
      </c>
      <c r="D387" s="1" t="s">
        <v>187</v>
      </c>
      <c r="E387" s="1" t="s">
        <v>124</v>
      </c>
      <c r="F387" s="1" t="s">
        <v>107</v>
      </c>
      <c r="G387" s="1">
        <v>21</v>
      </c>
      <c r="H387" s="1">
        <v>6525</v>
      </c>
      <c r="I387" s="1">
        <v>137025</v>
      </c>
      <c r="J387" s="1">
        <v>7067</v>
      </c>
      <c r="K387" s="1">
        <v>129958</v>
      </c>
      <c r="L387" s="1">
        <v>129958</v>
      </c>
      <c r="M387" s="1" t="s">
        <v>24</v>
      </c>
      <c r="N387" s="1" t="s">
        <v>61</v>
      </c>
      <c r="O387" s="1" t="s">
        <v>88</v>
      </c>
      <c r="P387" s="1" t="s">
        <v>27</v>
      </c>
      <c r="Q387" s="1">
        <v>2020</v>
      </c>
      <c r="R387" s="1">
        <v>1</v>
      </c>
      <c r="S387" s="1" t="s">
        <v>68</v>
      </c>
    </row>
    <row r="388" spans="1:19" x14ac:dyDescent="0.35">
      <c r="A388" s="1" t="s">
        <v>986</v>
      </c>
      <c r="B388" s="2">
        <v>44318</v>
      </c>
      <c r="C388" s="1" t="s">
        <v>987</v>
      </c>
      <c r="D388" s="1" t="s">
        <v>988</v>
      </c>
      <c r="E388" s="1" t="s">
        <v>60</v>
      </c>
      <c r="F388" s="1" t="s">
        <v>46</v>
      </c>
      <c r="G388" s="1">
        <v>2</v>
      </c>
      <c r="H388" s="1">
        <v>47526</v>
      </c>
      <c r="I388" s="1">
        <v>95052</v>
      </c>
      <c r="J388" s="1">
        <v>13433</v>
      </c>
      <c r="K388" s="1">
        <v>81619</v>
      </c>
      <c r="L388" s="1">
        <v>81619</v>
      </c>
      <c r="M388" s="1" t="s">
        <v>24</v>
      </c>
      <c r="N388" s="1" t="s">
        <v>101</v>
      </c>
      <c r="O388" s="1" t="s">
        <v>108</v>
      </c>
      <c r="P388" s="1" t="s">
        <v>27</v>
      </c>
      <c r="Q388" s="1">
        <v>2021</v>
      </c>
      <c r="R388" s="1">
        <v>5</v>
      </c>
      <c r="S388" s="1" t="s">
        <v>35</v>
      </c>
    </row>
    <row r="389" spans="1:19" x14ac:dyDescent="0.35">
      <c r="A389" s="1" t="s">
        <v>989</v>
      </c>
      <c r="B389" s="2">
        <v>44716</v>
      </c>
      <c r="C389" s="1" t="s">
        <v>212</v>
      </c>
      <c r="D389" s="1" t="s">
        <v>990</v>
      </c>
      <c r="E389" s="1" t="s">
        <v>32</v>
      </c>
      <c r="F389" s="1" t="s">
        <v>33</v>
      </c>
      <c r="G389" s="1">
        <v>2</v>
      </c>
      <c r="H389" s="1">
        <v>18348</v>
      </c>
      <c r="I389" s="1">
        <v>36696</v>
      </c>
      <c r="J389" s="1">
        <v>6029</v>
      </c>
      <c r="K389" s="1">
        <v>30667</v>
      </c>
      <c r="L389" s="1">
        <v>30667</v>
      </c>
      <c r="M389" s="1" t="s">
        <v>66</v>
      </c>
      <c r="N389" s="1" t="s">
        <v>48</v>
      </c>
      <c r="O389" s="1" t="s">
        <v>49</v>
      </c>
      <c r="P389" s="1" t="s">
        <v>27</v>
      </c>
      <c r="Q389" s="1">
        <v>2022</v>
      </c>
      <c r="R389" s="1">
        <v>6</v>
      </c>
      <c r="S389" s="1" t="s">
        <v>35</v>
      </c>
    </row>
    <row r="390" spans="1:19" x14ac:dyDescent="0.35">
      <c r="A390" s="1" t="s">
        <v>991</v>
      </c>
      <c r="B390" s="2">
        <v>45400</v>
      </c>
      <c r="C390" s="1" t="s">
        <v>992</v>
      </c>
      <c r="D390" s="1" t="s">
        <v>452</v>
      </c>
      <c r="E390" s="1" t="s">
        <v>79</v>
      </c>
      <c r="F390" s="1" t="s">
        <v>23</v>
      </c>
      <c r="G390" s="1">
        <v>3</v>
      </c>
      <c r="H390" s="1">
        <v>47477</v>
      </c>
      <c r="I390" s="1">
        <v>142431</v>
      </c>
      <c r="J390" s="1">
        <v>24063</v>
      </c>
      <c r="K390" s="1">
        <v>118368</v>
      </c>
      <c r="L390" s="1">
        <v>118368</v>
      </c>
      <c r="M390" s="1" t="s">
        <v>47</v>
      </c>
      <c r="N390" s="1" t="s">
        <v>48</v>
      </c>
      <c r="O390" s="1" t="s">
        <v>49</v>
      </c>
      <c r="P390" s="1" t="s">
        <v>27</v>
      </c>
      <c r="Q390" s="1">
        <v>2024</v>
      </c>
      <c r="R390" s="1">
        <v>4</v>
      </c>
      <c r="S390" s="1" t="s">
        <v>35</v>
      </c>
    </row>
    <row r="391" spans="1:19" x14ac:dyDescent="0.35">
      <c r="A391" s="1" t="s">
        <v>993</v>
      </c>
      <c r="B391" s="2">
        <v>43943</v>
      </c>
      <c r="C391" s="1" t="s">
        <v>593</v>
      </c>
      <c r="D391" s="1" t="s">
        <v>282</v>
      </c>
      <c r="E391" s="1" t="s">
        <v>22</v>
      </c>
      <c r="F391" s="1" t="s">
        <v>23</v>
      </c>
      <c r="G391" s="1">
        <v>23</v>
      </c>
      <c r="H391" s="1">
        <v>17503</v>
      </c>
      <c r="I391" s="1">
        <v>402569</v>
      </c>
      <c r="J391" s="1">
        <v>16592</v>
      </c>
      <c r="K391" s="1">
        <v>385977</v>
      </c>
      <c r="L391" s="1">
        <v>385977</v>
      </c>
      <c r="M391" s="1" t="s">
        <v>84</v>
      </c>
      <c r="N391" s="1" t="s">
        <v>101</v>
      </c>
      <c r="O391" s="1" t="s">
        <v>102</v>
      </c>
      <c r="P391" s="1" t="s">
        <v>27</v>
      </c>
      <c r="Q391" s="1">
        <v>2020</v>
      </c>
      <c r="R391" s="1">
        <v>4</v>
      </c>
      <c r="S391" s="1" t="s">
        <v>35</v>
      </c>
    </row>
    <row r="392" spans="1:19" x14ac:dyDescent="0.35">
      <c r="A392" s="1" t="s">
        <v>994</v>
      </c>
      <c r="B392" s="2">
        <v>44399</v>
      </c>
      <c r="C392" s="1" t="s">
        <v>995</v>
      </c>
      <c r="D392" s="1" t="s">
        <v>413</v>
      </c>
      <c r="E392" s="1" t="s">
        <v>53</v>
      </c>
      <c r="F392" s="1" t="s">
        <v>33</v>
      </c>
      <c r="G392" s="1">
        <v>4</v>
      </c>
      <c r="H392" s="1">
        <v>18290</v>
      </c>
      <c r="I392" s="1">
        <v>73160</v>
      </c>
      <c r="J392" s="1">
        <v>99</v>
      </c>
      <c r="K392" s="1">
        <v>73061</v>
      </c>
      <c r="L392" s="1">
        <v>73061</v>
      </c>
      <c r="M392" s="1" t="s">
        <v>39</v>
      </c>
      <c r="N392" s="1" t="s">
        <v>61</v>
      </c>
      <c r="O392" s="1" t="s">
        <v>88</v>
      </c>
      <c r="P392" s="1" t="s">
        <v>27</v>
      </c>
      <c r="Q392" s="1">
        <v>2021</v>
      </c>
      <c r="R392" s="1">
        <v>7</v>
      </c>
      <c r="S392" s="1" t="s">
        <v>56</v>
      </c>
    </row>
    <row r="393" spans="1:19" x14ac:dyDescent="0.35">
      <c r="A393" s="1" t="s">
        <v>996</v>
      </c>
      <c r="B393" s="2">
        <v>45474</v>
      </c>
      <c r="C393" s="1" t="s">
        <v>997</v>
      </c>
      <c r="D393" s="1" t="s">
        <v>560</v>
      </c>
      <c r="E393" s="1" t="s">
        <v>60</v>
      </c>
      <c r="F393" s="1" t="s">
        <v>46</v>
      </c>
      <c r="G393" s="1">
        <v>14</v>
      </c>
      <c r="H393" s="1">
        <v>54539</v>
      </c>
      <c r="I393" s="1">
        <v>763546</v>
      </c>
      <c r="J393" s="1">
        <v>58219</v>
      </c>
      <c r="K393" s="1">
        <v>705327</v>
      </c>
      <c r="L393" s="1">
        <v>705327</v>
      </c>
      <c r="M393" s="1" t="s">
        <v>34</v>
      </c>
      <c r="N393" s="1" t="s">
        <v>54</v>
      </c>
      <c r="O393" s="1" t="s">
        <v>55</v>
      </c>
      <c r="P393" s="1" t="s">
        <v>27</v>
      </c>
      <c r="Q393" s="1">
        <v>2024</v>
      </c>
      <c r="R393" s="1">
        <v>7</v>
      </c>
      <c r="S393" s="1" t="s">
        <v>56</v>
      </c>
    </row>
    <row r="394" spans="1:19" x14ac:dyDescent="0.35">
      <c r="A394" s="1" t="s">
        <v>998</v>
      </c>
      <c r="B394" s="2">
        <v>43925</v>
      </c>
      <c r="C394" s="1" t="s">
        <v>999</v>
      </c>
      <c r="D394" s="1" t="s">
        <v>1000</v>
      </c>
      <c r="E394" s="1" t="s">
        <v>32</v>
      </c>
      <c r="F394" s="1" t="s">
        <v>33</v>
      </c>
      <c r="G394" s="1">
        <v>2</v>
      </c>
      <c r="H394" s="1">
        <v>26469</v>
      </c>
      <c r="I394" s="1">
        <v>52938</v>
      </c>
      <c r="J394" s="1">
        <v>5513</v>
      </c>
      <c r="K394" s="1">
        <v>47425</v>
      </c>
      <c r="L394" s="1">
        <v>47425</v>
      </c>
      <c r="M394" s="1" t="s">
        <v>34</v>
      </c>
      <c r="N394" s="1" t="s">
        <v>61</v>
      </c>
      <c r="O394" s="1" t="s">
        <v>88</v>
      </c>
      <c r="P394" s="1" t="s">
        <v>27</v>
      </c>
      <c r="Q394" s="1">
        <v>2020</v>
      </c>
      <c r="R394" s="1">
        <v>4</v>
      </c>
      <c r="S394" s="1" t="s">
        <v>35</v>
      </c>
    </row>
    <row r="395" spans="1:19" x14ac:dyDescent="0.35">
      <c r="A395" s="1" t="s">
        <v>1001</v>
      </c>
      <c r="B395" s="2">
        <v>44798</v>
      </c>
      <c r="C395" s="1" t="s">
        <v>449</v>
      </c>
      <c r="D395" s="1" t="s">
        <v>326</v>
      </c>
      <c r="E395" s="1" t="s">
        <v>45</v>
      </c>
      <c r="F395" s="1" t="s">
        <v>46</v>
      </c>
      <c r="G395" s="1">
        <v>17</v>
      </c>
      <c r="H395" s="1">
        <v>19361</v>
      </c>
      <c r="I395" s="1">
        <v>329137</v>
      </c>
      <c r="J395" s="1">
        <v>33878</v>
      </c>
      <c r="K395" s="1">
        <v>295259</v>
      </c>
      <c r="L395" s="1">
        <v>295259</v>
      </c>
      <c r="M395" s="1" t="s">
        <v>66</v>
      </c>
      <c r="N395" s="1" t="s">
        <v>40</v>
      </c>
      <c r="O395" s="1" t="s">
        <v>75</v>
      </c>
      <c r="P395" s="1" t="s">
        <v>27</v>
      </c>
      <c r="Q395" s="1">
        <v>2022</v>
      </c>
      <c r="R395" s="1">
        <v>8</v>
      </c>
      <c r="S395" s="1" t="s">
        <v>56</v>
      </c>
    </row>
    <row r="396" spans="1:19" x14ac:dyDescent="0.35">
      <c r="A396" s="1" t="s">
        <v>1002</v>
      </c>
      <c r="B396" s="2">
        <v>44684</v>
      </c>
      <c r="C396" s="1" t="s">
        <v>159</v>
      </c>
      <c r="D396" s="1" t="s">
        <v>163</v>
      </c>
      <c r="E396" s="1" t="s">
        <v>53</v>
      </c>
      <c r="F396" s="1" t="s">
        <v>33</v>
      </c>
      <c r="G396" s="1">
        <v>3</v>
      </c>
      <c r="H396" s="1">
        <v>19983</v>
      </c>
      <c r="I396" s="1">
        <v>59949</v>
      </c>
      <c r="J396" s="1">
        <v>10336</v>
      </c>
      <c r="K396" s="1">
        <v>49613</v>
      </c>
      <c r="L396" s="1">
        <v>49613</v>
      </c>
      <c r="M396" s="1" t="s">
        <v>84</v>
      </c>
      <c r="N396" s="1" t="s">
        <v>25</v>
      </c>
      <c r="O396" s="1" t="s">
        <v>80</v>
      </c>
      <c r="P396" s="1" t="s">
        <v>27</v>
      </c>
      <c r="Q396" s="1">
        <v>2022</v>
      </c>
      <c r="R396" s="1">
        <v>5</v>
      </c>
      <c r="S396" s="1" t="s">
        <v>35</v>
      </c>
    </row>
    <row r="397" spans="1:19" x14ac:dyDescent="0.35">
      <c r="A397" s="1" t="s">
        <v>1003</v>
      </c>
      <c r="B397" s="2">
        <v>43962</v>
      </c>
      <c r="C397" s="1" t="s">
        <v>782</v>
      </c>
      <c r="D397" s="1" t="s">
        <v>285</v>
      </c>
      <c r="E397" s="1" t="s">
        <v>22</v>
      </c>
      <c r="F397" s="1" t="s">
        <v>23</v>
      </c>
      <c r="G397" s="1">
        <v>24</v>
      </c>
      <c r="H397" s="1">
        <v>20334</v>
      </c>
      <c r="I397" s="1">
        <v>488016</v>
      </c>
      <c r="J397" s="1">
        <v>14862</v>
      </c>
      <c r="K397" s="1">
        <v>473154</v>
      </c>
      <c r="L397" s="1">
        <v>473154</v>
      </c>
      <c r="M397" s="1" t="s">
        <v>34</v>
      </c>
      <c r="N397" s="1" t="s">
        <v>25</v>
      </c>
      <c r="O397" s="1" t="s">
        <v>26</v>
      </c>
      <c r="P397" s="1" t="s">
        <v>27</v>
      </c>
      <c r="Q397" s="1">
        <v>2020</v>
      </c>
      <c r="R397" s="1">
        <v>5</v>
      </c>
      <c r="S397" s="1" t="s">
        <v>35</v>
      </c>
    </row>
    <row r="398" spans="1:19" x14ac:dyDescent="0.35">
      <c r="A398" s="1" t="s">
        <v>1004</v>
      </c>
      <c r="B398" s="2">
        <v>43824</v>
      </c>
      <c r="C398" s="1" t="s">
        <v>312</v>
      </c>
      <c r="D398" s="1" t="s">
        <v>1005</v>
      </c>
      <c r="E398" s="1" t="s">
        <v>60</v>
      </c>
      <c r="F398" s="1" t="s">
        <v>46</v>
      </c>
      <c r="G398" s="1">
        <v>9</v>
      </c>
      <c r="H398" s="1">
        <v>44119</v>
      </c>
      <c r="I398" s="1">
        <v>397071</v>
      </c>
      <c r="J398" s="1">
        <v>75489</v>
      </c>
      <c r="K398" s="1">
        <v>321582</v>
      </c>
      <c r="L398" s="1">
        <v>321582</v>
      </c>
      <c r="M398" s="1" t="s">
        <v>47</v>
      </c>
      <c r="N398" s="1" t="s">
        <v>40</v>
      </c>
      <c r="O398" s="1" t="s">
        <v>75</v>
      </c>
      <c r="P398" s="1" t="s">
        <v>27</v>
      </c>
      <c r="Q398" s="1">
        <v>2019</v>
      </c>
      <c r="R398" s="1">
        <v>12</v>
      </c>
      <c r="S398" s="1" t="s">
        <v>28</v>
      </c>
    </row>
    <row r="399" spans="1:19" x14ac:dyDescent="0.35">
      <c r="A399" s="1" t="s">
        <v>1006</v>
      </c>
      <c r="B399" s="2">
        <v>44663</v>
      </c>
      <c r="C399" s="1" t="s">
        <v>765</v>
      </c>
      <c r="D399" s="1" t="s">
        <v>954</v>
      </c>
      <c r="E399" s="1" t="s">
        <v>53</v>
      </c>
      <c r="F399" s="1" t="s">
        <v>33</v>
      </c>
      <c r="G399" s="1">
        <v>19</v>
      </c>
      <c r="H399" s="1">
        <v>35254</v>
      </c>
      <c r="I399" s="1">
        <v>669826</v>
      </c>
      <c r="J399" s="1">
        <v>66388</v>
      </c>
      <c r="K399" s="1">
        <v>603438</v>
      </c>
      <c r="L399" s="1">
        <v>603438</v>
      </c>
      <c r="M399" s="1" t="s">
        <v>24</v>
      </c>
      <c r="N399" s="1" t="s">
        <v>40</v>
      </c>
      <c r="O399" s="1" t="s">
        <v>75</v>
      </c>
      <c r="P399" s="1" t="s">
        <v>27</v>
      </c>
      <c r="Q399" s="1">
        <v>2022</v>
      </c>
      <c r="R399" s="1">
        <v>4</v>
      </c>
      <c r="S399" s="1" t="s">
        <v>35</v>
      </c>
    </row>
    <row r="400" spans="1:19" x14ac:dyDescent="0.35">
      <c r="A400" s="1" t="s">
        <v>1007</v>
      </c>
      <c r="B400" s="2">
        <v>45386</v>
      </c>
      <c r="C400" s="1" t="s">
        <v>227</v>
      </c>
      <c r="D400" s="1" t="s">
        <v>1008</v>
      </c>
      <c r="E400" s="1" t="s">
        <v>53</v>
      </c>
      <c r="F400" s="1" t="s">
        <v>33</v>
      </c>
      <c r="G400" s="1">
        <v>19</v>
      </c>
      <c r="H400" s="1">
        <v>923</v>
      </c>
      <c r="I400" s="1">
        <v>17537</v>
      </c>
      <c r="J400" s="1">
        <v>668</v>
      </c>
      <c r="K400" s="1">
        <v>16869</v>
      </c>
      <c r="L400" s="1">
        <v>16869</v>
      </c>
      <c r="M400" s="1" t="s">
        <v>84</v>
      </c>
      <c r="N400" s="1" t="s">
        <v>101</v>
      </c>
      <c r="O400" s="1" t="s">
        <v>102</v>
      </c>
      <c r="P400" s="1" t="s">
        <v>27</v>
      </c>
      <c r="Q400" s="1">
        <v>2024</v>
      </c>
      <c r="R400" s="1">
        <v>4</v>
      </c>
      <c r="S400" s="1" t="s">
        <v>35</v>
      </c>
    </row>
    <row r="401" spans="1:19" x14ac:dyDescent="0.35">
      <c r="A401" s="1" t="s">
        <v>1009</v>
      </c>
      <c r="B401" s="2">
        <v>44476</v>
      </c>
      <c r="C401" s="1" t="s">
        <v>1010</v>
      </c>
      <c r="D401" s="1" t="s">
        <v>728</v>
      </c>
      <c r="E401" s="1" t="s">
        <v>79</v>
      </c>
      <c r="F401" s="1" t="s">
        <v>23</v>
      </c>
      <c r="G401" s="1">
        <v>19</v>
      </c>
      <c r="H401" s="1">
        <v>11727</v>
      </c>
      <c r="I401" s="1">
        <v>222813</v>
      </c>
      <c r="J401" s="1">
        <v>34773</v>
      </c>
      <c r="K401" s="1">
        <v>188040</v>
      </c>
      <c r="L401" s="1">
        <v>188040</v>
      </c>
      <c r="M401" s="1" t="s">
        <v>66</v>
      </c>
      <c r="N401" s="1" t="s">
        <v>48</v>
      </c>
      <c r="O401" s="1" t="s">
        <v>49</v>
      </c>
      <c r="P401" s="1" t="s">
        <v>27</v>
      </c>
      <c r="Q401" s="1">
        <v>2021</v>
      </c>
      <c r="R401" s="1">
        <v>10</v>
      </c>
      <c r="S401" s="1"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Sheet1</vt:lpstr>
      <vt:lpstr>Sheet2</vt:lpstr>
      <vt:lpstr>Sheet3</vt:lpstr>
      <vt:lpstr>Sheet4</vt:lpstr>
      <vt:lpstr>Sheet5</vt:lpstr>
      <vt:lpstr>Clean_Sales_Data_2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patel</cp:lastModifiedBy>
  <dcterms:created xsi:type="dcterms:W3CDTF">2026-01-31T07:53:45Z</dcterms:created>
  <dcterms:modified xsi:type="dcterms:W3CDTF">2026-05-07T10:54:35Z</dcterms:modified>
</cp:coreProperties>
</file>